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Build" sheetId="3" state="visible" r:id="rId3"/>
    <sheet name="Sensitivity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$#,##0.00"/>
    <numFmt numFmtId="167" formatCode="$#,##0.00,,,&quot;B&quot;"/>
    <numFmt numFmtId="168" formatCode="$#,##0.0,,&quot;M&quot;"/>
  </numFmts>
  <fonts count="15">
    <font>
      <name val="Calibri"/>
      <family val="2"/>
      <color theme="1"/>
      <sz val="11"/>
      <scheme val="minor"/>
    </font>
    <font>
      <name val="Calibri"/>
      <b val="1"/>
      <color rgb="FF1F2A44"/>
      <sz val="22"/>
    </font>
    <font>
      <name val="Calibri"/>
      <i val="1"/>
      <color rgb="FF7F7F7F"/>
      <sz val="11"/>
    </font>
    <font>
      <name val="Calibri"/>
      <b val="1"/>
      <color rgb="FF1F2A44"/>
      <sz val="11"/>
    </font>
    <font>
      <name val="Calibri"/>
      <b val="1"/>
      <color rgb="FFFFFFFF"/>
      <sz val="13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7F7F7F"/>
      <sz val="9"/>
    </font>
    <font>
      <name val="Calibri"/>
      <b val="1"/>
      <color rgb="FF000000"/>
      <sz val="10"/>
    </font>
    <font>
      <name val="Calibri"/>
      <b val="1"/>
      <color rgb="FF1F2A44"/>
      <sz val="12"/>
    </font>
    <font>
      <name val="Calibri"/>
      <b val="1"/>
      <color rgb="FF1F2A44"/>
      <sz val="30"/>
    </font>
    <font>
      <name val="Calibri"/>
      <color rgb="FF7F7F7F"/>
      <sz val="14"/>
    </font>
    <font>
      <name val="Calibri"/>
      <color rgb="FF1F2A44"/>
      <sz val="11"/>
    </font>
    <font>
      <name val="Calibri"/>
      <b val="1"/>
      <color rgb="FF7F7F7F"/>
      <sz val="11"/>
    </font>
    <font>
      <name val="Calibri"/>
      <b val="1"/>
      <color rgb="FF1F2A44"/>
      <sz val="28"/>
    </font>
  </fonts>
  <fills count="6">
    <fill>
      <patternFill/>
    </fill>
    <fill>
      <patternFill patternType="gray125"/>
    </fill>
    <fill>
      <patternFill patternType="solid">
        <fgColor rgb="FFE7DDEA"/>
      </patternFill>
    </fill>
    <fill>
      <patternFill patternType="solid">
        <fgColor rgb="FF1F2A44"/>
      </patternFill>
    </fill>
    <fill>
      <patternFill patternType="solid">
        <fgColor rgb="FFFFFDE7"/>
      </patternFill>
    </fill>
    <fill>
      <patternFill patternType="solid">
        <fgColor rgb="FFF3EFE9"/>
      </patternFill>
    </fill>
  </fills>
  <borders count="3">
    <border>
      <left/>
      <right/>
      <top/>
      <bottom/>
      <diagonal/>
    </border>
    <border>
      <top style="thin">
        <color rgb="FF7F7F7F"/>
      </top>
    </border>
    <border>
      <left style="thin">
        <color rgb="FFD9D2DE"/>
      </left>
      <right style="thin">
        <color rgb="FFD9D2DE"/>
      </right>
      <top style="thin">
        <color rgb="FFD9D2DE"/>
      </top>
      <bottom style="thin">
        <color rgb="FFD9D2DE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2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13" fillId="0" borderId="0" pivotButton="0" quotePrefix="0" xfId="0"/>
    <xf numFmtId="167" fontId="14" fillId="0" borderId="0" pivotButton="0" quotePrefix="0" xfId="0"/>
    <xf numFmtId="168" fontId="1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168" fontId="8" fillId="0" borderId="0" pivotButton="0" quotePrefix="0" xfId="0"/>
    <xf numFmtId="0" fontId="8" fillId="0" borderId="0" pivotButton="0" quotePrefix="0" xfId="0"/>
    <xf numFmtId="2" fontId="8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4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6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right" vertical="center"/>
    </xf>
    <xf numFmtId="1" fontId="6" fillId="4" borderId="0" applyAlignment="1" pivotButton="0" quotePrefix="0" xfId="0">
      <alignment horizontal="right" vertical="center"/>
    </xf>
    <xf numFmtId="49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9" fontId="5" fillId="0" borderId="0" applyAlignment="1" pivotButton="0" quotePrefix="0" xfId="0">
      <alignment horizontal="right" vertical="center"/>
    </xf>
    <xf numFmtId="2" fontId="6" fillId="4" borderId="0" applyAlignment="1" pivotButton="0" quotePrefix="0" xfId="0">
      <alignment horizontal="right" vertical="center"/>
    </xf>
    <xf numFmtId="1" fontId="6" fillId="4" borderId="0" applyAlignment="1" pivotButton="0" quotePrefix="0" xfId="0">
      <alignment horizontal="center" vertical="center"/>
    </xf>
    <xf numFmtId="3" fontId="5" fillId="0" borderId="0" pivotButton="0" quotePrefix="0" xfId="0"/>
    <xf numFmtId="3" fontId="8" fillId="0" borderId="1" pivotButton="0" quotePrefix="0" xfId="0"/>
    <xf numFmtId="0" fontId="3" fillId="2" borderId="0" applyAlignment="1" pivotButton="0" quotePrefix="0" xfId="0">
      <alignment horizontal="center" vertical="center"/>
    </xf>
    <xf numFmtId="165" fontId="5" fillId="0" borderId="0" pivotButton="0" quotePrefix="0" xfId="0"/>
    <xf numFmtId="2" fontId="5" fillId="0" borderId="0" pivotButton="0" quotePrefix="0" xfId="0"/>
    <xf numFmtId="3" fontId="8" fillId="0" borderId="0" pivotButton="0" quotePrefix="0" xfId="0"/>
    <xf numFmtId="3" fontId="7" fillId="0" borderId="0" pivotButton="0" quotePrefix="0" xfId="0"/>
    <xf numFmtId="0" fontId="8" fillId="2" borderId="0" pivotButton="0" quotePrefix="0" xfId="0"/>
    <xf numFmtId="3" fontId="9" fillId="2" borderId="0" pivotButton="0" quotePrefix="0" xfId="0"/>
    <xf numFmtId="166" fontId="6" fillId="4" borderId="0" applyAlignment="1" pivotButton="0" quotePrefix="0" xfId="0">
      <alignment horizontal="center" vertical="center"/>
    </xf>
    <xf numFmtId="3" fontId="6" fillId="4" borderId="0" pivotButton="0" quotePrefix="0" xfId="0"/>
    <xf numFmtId="168" fontId="5" fillId="0" borderId="0" pivotButton="0" quotePrefix="0" xfId="0"/>
    <xf numFmtId="3" fontId="6" fillId="4" borderId="0" applyAlignment="1" pivotButton="0" quotePrefix="0" xfId="0">
      <alignment horizontal="center" vertical="center"/>
    </xf>
    <xf numFmtId="2" fontId="6" fillId="4" borderId="0" pivotButton="0" quotePrefix="0" xfId="0"/>
    <xf numFmtId="0" fontId="8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6" customWidth="1" min="6" max="6"/>
  </cols>
  <sheetData>
    <row r="2">
      <c r="B2" s="1" t="inlineStr">
        <is>
          <t>INVIRTUS</t>
        </is>
      </c>
    </row>
    <row r="3">
      <c r="B3" s="2" t="inlineStr">
        <is>
          <t>Bottoms-Up Revenue Potential  (two streams; TAM / SAM / SOM equivalents)</t>
        </is>
      </c>
    </row>
    <row r="4">
      <c r="B4" s="3" t="inlineStr">
        <is>
          <t>Candidate assessment platform  -  decision intelligence layer above the ATS  |  USD  |  Built 2026-06-16</t>
        </is>
      </c>
    </row>
    <row r="6">
      <c r="B6" s="4" t="inlineStr">
        <is>
          <t>THE ANSWER</t>
        </is>
      </c>
      <c r="C6" s="5" t="n"/>
      <c r="D6" s="5" t="n"/>
      <c r="E6" s="5" t="n"/>
    </row>
    <row r="7">
      <c r="B7" s="6" t="inlineStr">
        <is>
          <t>Lead with the 3-year reachable number. It runs on two streams - assessment packs plus talent-DB monetization - and is driven first by the Manatal channel (embedded attach ~59% of the assessment line), then self-serve. The single biggest assumption is the Year-3 channel attach rate on the ICP-relevant Manatal base (Assumptions sec. 7); tests/account and the $14 PAYG price are the next two swing factors (see Sensitivity).</t>
        </is>
      </c>
      <c r="C7" s="7" t="n"/>
      <c r="D7" s="7" t="n"/>
      <c r="E7" s="7" t="n"/>
    </row>
    <row r="8">
      <c r="B8" s="7" t="n"/>
      <c r="C8" s="7" t="n"/>
      <c r="D8" s="7" t="n"/>
      <c r="E8" s="7" t="n"/>
    </row>
    <row r="9">
      <c r="B9" s="7" t="n"/>
      <c r="C9" s="7" t="n"/>
      <c r="D9" s="7" t="n"/>
      <c r="E9" s="7" t="n"/>
    </row>
    <row r="11">
      <c r="B11" s="8" t="inlineStr">
        <is>
          <t>FULL OPPORTUNITY</t>
        </is>
      </c>
      <c r="C11" s="8" t="inlineStr">
        <is>
          <t>SERVICEABLE TODAY</t>
        </is>
      </c>
      <c r="D11" s="8" t="inlineStr">
        <is>
          <t>3-YEAR REACHABLE</t>
        </is>
      </c>
    </row>
    <row r="12">
      <c r="B12" s="9">
        <f>Build!$F$37</f>
        <v/>
      </c>
      <c r="C12" s="10">
        <f>Build!$F$38</f>
        <v/>
      </c>
      <c r="D12" s="10">
        <f>Build!$F$39</f>
        <v/>
      </c>
    </row>
    <row r="13">
      <c r="B13" s="3" t="inlineStr">
        <is>
          <t>(TAM) all geos | 2 streams</t>
        </is>
      </c>
      <c r="C13" s="3" t="inlineStr">
        <is>
          <t>(SAM) focus-6 | serviceable</t>
        </is>
      </c>
      <c r="D13" s="3" t="inlineStr">
        <is>
          <t>(SOM) channel+direct | 3-yr</t>
        </is>
      </c>
    </row>
    <row r="15">
      <c r="B15" s="11" t="inlineStr">
        <is>
          <t>3-yr reachable - by revenue stream</t>
        </is>
      </c>
    </row>
    <row r="16">
      <c r="B16" s="12" t="inlineStr">
        <is>
          <t>Assessment packs</t>
        </is>
      </c>
      <c r="C16" s="13">
        <f>Build!$C$39</f>
        <v/>
      </c>
    </row>
    <row r="17">
      <c r="B17" s="12" t="inlineStr">
        <is>
          <t>Talent-DB monetization</t>
        </is>
      </c>
      <c r="C17" s="13">
        <f>Build!$E$39</f>
        <v/>
      </c>
    </row>
    <row r="18">
      <c r="B18" s="14" t="inlineStr">
        <is>
          <t>Total revenue potential</t>
        </is>
      </c>
      <c r="C18" s="13">
        <f>Build!$F$39</f>
        <v/>
      </c>
    </row>
    <row r="20">
      <c r="B20" s="11" t="inlineStr">
        <is>
          <t>3-yr reachable - assessments by route</t>
        </is>
      </c>
    </row>
    <row r="21">
      <c r="B21" s="12" t="inlineStr">
        <is>
          <t>Channel (partner portfolio)</t>
        </is>
      </c>
      <c r="C21" s="13">
        <f>Build!$E$24</f>
        <v/>
      </c>
    </row>
    <row r="22">
      <c r="B22" s="12" t="inlineStr">
        <is>
          <t>Direct (self-serve + sales)</t>
        </is>
      </c>
      <c r="C22" s="13">
        <f>Build!$E$30</f>
        <v/>
      </c>
    </row>
    <row r="24">
      <c r="B24" s="11" t="inlineStr">
        <is>
          <t>Scenario levers (edit on Assumptions)</t>
        </is>
      </c>
    </row>
    <row r="25">
      <c r="B25" s="12" t="inlineStr">
        <is>
          <t>Market breadth mode</t>
        </is>
      </c>
      <c r="C25" s="14">
        <f>Assumptions!$C$33</f>
        <v/>
      </c>
    </row>
    <row r="26">
      <c r="B26" s="12" t="inlineStr">
        <is>
          <t>Channel attach scalar</t>
        </is>
      </c>
      <c r="C26" s="15">
        <f>Assumptions!$C$90</f>
        <v/>
      </c>
    </row>
    <row r="28">
      <c r="B28" s="11" t="inlineStr">
        <is>
          <t>How to read this model</t>
        </is>
      </c>
    </row>
    <row r="29">
      <c r="B29" s="16" t="inlineStr">
        <is>
          <t>1.  Every blue cell on Assumptions is an editable input; black cells are formulas with no hardcodes.</t>
        </is>
      </c>
    </row>
    <row r="30">
      <c r="B30" s="16" t="inlineStr">
        <is>
          <t>2.  Market BREADTH toggle (1 Engineers / 2 White-collar / 3 Narrower) scales the universe; the</t>
        </is>
      </c>
    </row>
    <row r="31">
      <c r="B31" s="16" t="inlineStr">
        <is>
          <t xml:space="preserve">     headline above reflects the active mode. Channel is a partner PORTFOLIO (Manatal + others), each toggleable.</t>
        </is>
      </c>
    </row>
    <row r="32">
      <c r="B32" s="16" t="inlineStr">
        <is>
          <t>3.  Build derives Serviceable bottoms-up (entities x %fit x tests/yr x net $/test), grosses up to Full</t>
        </is>
      </c>
    </row>
    <row r="33">
      <c r="B33" s="16" t="inlineStr">
        <is>
          <t xml:space="preserve">     opportunity, and captures the 3-yr figure via the partner channel + direct self-serve/sales, two streams.</t>
        </is>
      </c>
    </row>
    <row r="34">
      <c r="B34" s="16" t="inlineStr">
        <is>
          <t>4.  Sensitivity flexes the inputs that move it most; Sources lists every researched figure.</t>
        </is>
      </c>
    </row>
    <row r="36">
      <c r="B36" s="17" t="inlineStr">
        <is>
          <t>Input (editable)</t>
        </is>
      </c>
      <c r="C36" s="12" t="inlineStr">
        <is>
          <t>Formula (calc)</t>
        </is>
      </c>
    </row>
  </sheetData>
  <mergeCells count="7">
    <mergeCell ref="B31:E31"/>
    <mergeCell ref="B30:E30"/>
    <mergeCell ref="B29:E29"/>
    <mergeCell ref="B33:E33"/>
    <mergeCell ref="B34:E34"/>
    <mergeCell ref="B7:E9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0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2" customWidth="1" min="4" max="4"/>
    <col width="10" customWidth="1" min="5" max="5"/>
    <col width="52" customWidth="1" min="6" max="6"/>
    <col width="12" customWidth="1" min="7" max="7"/>
    <col width="7" customWidth="1" min="8" max="8"/>
  </cols>
  <sheetData>
    <row r="1">
      <c r="B1" s="18" t="inlineStr">
        <is>
          <t>INVIRTUS  -  Assumptions</t>
        </is>
      </c>
    </row>
    <row r="2">
      <c r="B2" s="19" t="inlineStr">
        <is>
          <t>All blue cells are editable inputs. Black cells are formulas. Col E = source key (see Sources tab). Currency = USD.</t>
        </is>
      </c>
    </row>
    <row r="4">
      <c r="B4" s="20" t="inlineStr">
        <is>
          <t>Driver</t>
        </is>
      </c>
      <c r="C4" s="20" t="inlineStr">
        <is>
          <t>Value</t>
        </is>
      </c>
      <c r="D4" s="20" t="inlineStr">
        <is>
          <t>Unit</t>
        </is>
      </c>
      <c r="E4" s="20" t="inlineStr">
        <is>
          <t>Src</t>
        </is>
      </c>
      <c r="F4" s="20" t="inlineStr">
        <is>
          <t>Logic / flag</t>
        </is>
      </c>
    </row>
    <row r="5" ht="20" customHeight="1">
      <c r="B5" s="4" t="inlineStr">
        <is>
          <t>1.  Addressable entities  (bottoms-up universe)  [RESEARCH]</t>
        </is>
      </c>
      <c r="C5" s="5" t="n"/>
      <c r="D5" s="5" t="n"/>
      <c r="E5" s="5" t="n"/>
      <c r="F5" s="5" t="n"/>
    </row>
    <row r="6">
      <c r="B6" s="20" t="inlineStr">
        <is>
          <t>Tech-focused recruiting agencies</t>
        </is>
      </c>
      <c r="C6" s="21" t="n"/>
      <c r="D6" s="21" t="n"/>
      <c r="E6" s="21" t="n"/>
      <c r="F6" s="21" t="n"/>
    </row>
    <row r="7">
      <c r="B7" s="16" t="inlineStr">
        <is>
          <t xml:space="preserve">   France</t>
        </is>
      </c>
      <c r="C7" s="22" t="n">
        <v>500</v>
      </c>
      <c r="D7" s="23" t="inlineStr">
        <is>
          <t>entities</t>
        </is>
      </c>
      <c r="E7" s="24" t="inlineStr">
        <is>
          <t>S1</t>
        </is>
      </c>
      <c r="F7" s="23" t="inlineStr">
        <is>
          <t>Recruitment/staffing firms with a tech/IT desk. Tech subset of national agency base.</t>
        </is>
      </c>
    </row>
    <row r="8">
      <c r="B8" s="16" t="inlineStr">
        <is>
          <t xml:space="preserve">   UK</t>
        </is>
      </c>
      <c r="C8" s="22" t="n">
        <v>3500</v>
      </c>
      <c r="D8" s="23" t="inlineStr">
        <is>
          <t>entities</t>
        </is>
      </c>
      <c r="E8" s="24" t="inlineStr">
        <is>
          <t>S2</t>
        </is>
      </c>
      <c r="F8" s="23" t="inlineStr">
        <is>
          <t>Recruitment/staffing firms with a tech/IT desk. Tech subset of national agency base.</t>
        </is>
      </c>
    </row>
    <row r="9">
      <c r="B9" s="16" t="inlineStr">
        <is>
          <t xml:space="preserve">   UAE</t>
        </is>
      </c>
      <c r="C9" s="22" t="n">
        <v>100</v>
      </c>
      <c r="D9" s="23" t="inlineStr">
        <is>
          <t>entities</t>
        </is>
      </c>
      <c r="E9" s="24" t="inlineStr">
        <is>
          <t>S3</t>
        </is>
      </c>
      <c r="F9" s="23" t="inlineStr">
        <is>
          <t>Recruitment/staffing firms with a tech/IT desk. Tech subset of national agency base.</t>
        </is>
      </c>
    </row>
    <row r="10">
      <c r="B10" s="16" t="inlineStr">
        <is>
          <t xml:space="preserve">   Morocco</t>
        </is>
      </c>
      <c r="C10" s="22" t="n">
        <v>45</v>
      </c>
      <c r="D10" s="23" t="inlineStr">
        <is>
          <t>entities</t>
        </is>
      </c>
      <c r="E10" s="24" t="inlineStr">
        <is>
          <t>S4</t>
        </is>
      </c>
      <c r="F10" s="23" t="inlineStr">
        <is>
          <t>Recruitment/staffing firms with a tech/IT desk. Tech subset of national agency base.</t>
        </is>
      </c>
    </row>
    <row r="11">
      <c r="B11" s="16" t="inlineStr">
        <is>
          <t xml:space="preserve">   KSA</t>
        </is>
      </c>
      <c r="C11" s="22" t="n">
        <v>50</v>
      </c>
      <c r="D11" s="23" t="inlineStr">
        <is>
          <t>entities</t>
        </is>
      </c>
      <c r="E11" s="24" t="inlineStr">
        <is>
          <t>S5</t>
        </is>
      </c>
      <c r="F11" s="23" t="inlineStr">
        <is>
          <t>Recruitment/staffing firms with a tech/IT desk. Tech subset of national agency base.</t>
        </is>
      </c>
    </row>
    <row r="12">
      <c r="B12" s="16" t="inlineStr">
        <is>
          <t xml:space="preserve">   Egypt</t>
        </is>
      </c>
      <c r="C12" s="22" t="n">
        <v>60</v>
      </c>
      <c r="D12" s="23" t="inlineStr">
        <is>
          <t>entities</t>
        </is>
      </c>
      <c r="E12" s="24" t="inlineStr">
        <is>
          <t>S6</t>
        </is>
      </c>
      <c r="F12" s="23" t="inlineStr">
        <is>
          <t>Recruitment/staffing firms with a tech/IT desk. Tech subset of national agency base.</t>
        </is>
      </c>
    </row>
    <row r="13">
      <c r="B13" s="20" t="inlineStr">
        <is>
          <t>Engineering-heavy firms (tech/software/ICT cos.)</t>
        </is>
      </c>
      <c r="C13" s="21" t="n"/>
      <c r="D13" s="21" t="n"/>
      <c r="E13" s="21" t="n"/>
      <c r="F13" s="21" t="n"/>
    </row>
    <row r="14">
      <c r="B14" s="16" t="inlineStr">
        <is>
          <t xml:space="preserve">   France</t>
        </is>
      </c>
      <c r="C14" s="22" t="n">
        <v>95000</v>
      </c>
      <c r="D14" s="23" t="inlineStr">
        <is>
          <t>entities</t>
        </is>
      </c>
      <c r="E14" s="24" t="inlineStr">
        <is>
          <t>S1</t>
        </is>
      </c>
      <c r="F14" s="23" t="inlineStr">
        <is>
          <t>Tech/software/ICT companies that hire engineers in-house.</t>
        </is>
      </c>
    </row>
    <row r="15">
      <c r="B15" s="16" t="inlineStr">
        <is>
          <t xml:space="preserve">   UK</t>
        </is>
      </c>
      <c r="C15" s="22" t="n">
        <v>107000</v>
      </c>
      <c r="D15" s="23" t="inlineStr">
        <is>
          <t>entities</t>
        </is>
      </c>
      <c r="E15" s="24" t="inlineStr">
        <is>
          <t>S2</t>
        </is>
      </c>
      <c r="F15" s="23" t="inlineStr">
        <is>
          <t>Tech/software/ICT companies that hire engineers in-house.</t>
        </is>
      </c>
    </row>
    <row r="16">
      <c r="B16" s="16" t="inlineStr">
        <is>
          <t xml:space="preserve">   UAE</t>
        </is>
      </c>
      <c r="C16" s="22" t="n">
        <v>5000</v>
      </c>
      <c r="D16" s="23" t="inlineStr">
        <is>
          <t>entities</t>
        </is>
      </c>
      <c r="E16" s="24" t="inlineStr">
        <is>
          <t>S3</t>
        </is>
      </c>
      <c r="F16" s="23" t="inlineStr">
        <is>
          <t>Tech/software/ICT companies that hire engineers in-house.</t>
        </is>
      </c>
    </row>
    <row r="17">
      <c r="B17" s="16" t="inlineStr">
        <is>
          <t xml:space="preserve">   Morocco</t>
        </is>
      </c>
      <c r="C17" s="22" t="n">
        <v>2000</v>
      </c>
      <c r="D17" s="23" t="inlineStr">
        <is>
          <t>entities</t>
        </is>
      </c>
      <c r="E17" s="24" t="inlineStr">
        <is>
          <t>S4</t>
        </is>
      </c>
      <c r="F17" s="23" t="inlineStr">
        <is>
          <t>Tech/software/ICT companies that hire engineers in-house.</t>
        </is>
      </c>
    </row>
    <row r="18">
      <c r="B18" s="16" t="inlineStr">
        <is>
          <t xml:space="preserve">   KSA</t>
        </is>
      </c>
      <c r="C18" s="22" t="n">
        <v>1800</v>
      </c>
      <c r="D18" s="23" t="inlineStr">
        <is>
          <t>entities</t>
        </is>
      </c>
      <c r="E18" s="24" t="inlineStr">
        <is>
          <t>S5</t>
        </is>
      </c>
      <c r="F18" s="23" t="inlineStr">
        <is>
          <t>Tech/software/ICT companies that hire engineers in-house.</t>
        </is>
      </c>
    </row>
    <row r="19">
      <c r="B19" s="16" t="inlineStr">
        <is>
          <t xml:space="preserve">   Egypt</t>
        </is>
      </c>
      <c r="C19" s="22" t="n">
        <v>2500</v>
      </c>
      <c r="D19" s="23" t="inlineStr">
        <is>
          <t>entities</t>
        </is>
      </c>
      <c r="E19" s="24" t="inlineStr">
        <is>
          <t>S6</t>
        </is>
      </c>
      <c r="F19" s="23" t="inlineStr">
        <is>
          <t>Tech/software/ICT companies that hire engineers in-house.</t>
        </is>
      </c>
    </row>
    <row r="20">
      <c r="B20" s="20" t="inlineStr">
        <is>
          <t>Mid-size firms w/ structured tech hiring (50-250)</t>
        </is>
      </c>
      <c r="C20" s="21" t="n"/>
      <c r="D20" s="21" t="n"/>
      <c r="E20" s="21" t="n"/>
      <c r="F20" s="21" t="n"/>
    </row>
    <row r="21">
      <c r="B21" s="16" t="inlineStr">
        <is>
          <t xml:space="preserve">   France</t>
        </is>
      </c>
      <c r="C21" s="22" t="n">
        <v>7300</v>
      </c>
      <c r="D21" s="23" t="inlineStr">
        <is>
          <t>entities</t>
        </is>
      </c>
      <c r="E21" s="24" t="inlineStr">
        <is>
          <t>S1</t>
        </is>
      </c>
      <c r="F21" s="23" t="inlineStr">
        <is>
          <t>Medium enterprises x share that run structured engineering hiring.</t>
        </is>
      </c>
    </row>
    <row r="22">
      <c r="B22" s="16" t="inlineStr">
        <is>
          <t xml:space="preserve">   UK</t>
        </is>
      </c>
      <c r="C22" s="22" t="n">
        <v>13200</v>
      </c>
      <c r="D22" s="23" t="inlineStr">
        <is>
          <t>entities</t>
        </is>
      </c>
      <c r="E22" s="24" t="inlineStr">
        <is>
          <t>S2</t>
        </is>
      </c>
      <c r="F22" s="23" t="inlineStr">
        <is>
          <t>Medium enterprises x share that run structured engineering hiring.</t>
        </is>
      </c>
    </row>
    <row r="23">
      <c r="B23" s="16" t="inlineStr">
        <is>
          <t xml:space="preserve">   UAE</t>
        </is>
      </c>
      <c r="C23" s="22" t="n">
        <v>2800</v>
      </c>
      <c r="D23" s="23" t="inlineStr">
        <is>
          <t>entities</t>
        </is>
      </c>
      <c r="E23" s="24" t="inlineStr">
        <is>
          <t>S3</t>
        </is>
      </c>
      <c r="F23" s="23" t="inlineStr">
        <is>
          <t>Medium enterprises x share that run structured engineering hiring.</t>
        </is>
      </c>
    </row>
    <row r="24">
      <c r="B24" s="16" t="inlineStr">
        <is>
          <t xml:space="preserve">   Morocco</t>
        </is>
      </c>
      <c r="C24" s="22" t="n">
        <v>1250</v>
      </c>
      <c r="D24" s="23" t="inlineStr">
        <is>
          <t>entities</t>
        </is>
      </c>
      <c r="E24" s="24" t="inlineStr">
        <is>
          <t>S4</t>
        </is>
      </c>
      <c r="F24" s="23" t="inlineStr">
        <is>
          <t>Medium enterprises x share that run structured engineering hiring.</t>
        </is>
      </c>
    </row>
    <row r="25">
      <c r="B25" s="16" t="inlineStr">
        <is>
          <t xml:space="preserve">   KSA</t>
        </is>
      </c>
      <c r="C25" s="22" t="n">
        <v>2600</v>
      </c>
      <c r="D25" s="23" t="inlineStr">
        <is>
          <t>entities</t>
        </is>
      </c>
      <c r="E25" s="24" t="inlineStr">
        <is>
          <t>S5</t>
        </is>
      </c>
      <c r="F25" s="23" t="inlineStr">
        <is>
          <t>Medium enterprises x share that run structured engineering hiring.</t>
        </is>
      </c>
    </row>
    <row r="26">
      <c r="B26" s="16" t="inlineStr">
        <is>
          <t xml:space="preserve">   Egypt</t>
        </is>
      </c>
      <c r="C26" s="22" t="n">
        <v>2000</v>
      </c>
      <c r="D26" s="23" t="inlineStr">
        <is>
          <t>entities</t>
        </is>
      </c>
      <c r="E26" s="24" t="inlineStr">
        <is>
          <t>S6</t>
        </is>
      </c>
      <c r="F26" s="23" t="inlineStr">
        <is>
          <t>Medium enterprises x share that run structured engineering hiring.</t>
        </is>
      </c>
    </row>
    <row r="27">
      <c r="B27" s="20" t="inlineStr">
        <is>
          <t>Focus-6 subtotals (calc)</t>
        </is>
      </c>
      <c r="C27" s="21" t="n"/>
      <c r="D27" s="21" t="n"/>
      <c r="E27" s="21" t="n"/>
      <c r="F27" s="21" t="n"/>
    </row>
    <row r="28">
      <c r="B28" s="16" t="inlineStr">
        <is>
          <t xml:space="preserve">   Agencies - focus-6 total</t>
        </is>
      </c>
      <c r="C28" s="25">
        <f>(Assumptions!$C$7+Assumptions!$C$8+Assumptions!$C$9+Assumptions!$C$10+Assumptions!$C$11+Assumptions!$C$12)</f>
        <v/>
      </c>
      <c r="D28" s="23" t="inlineStr">
        <is>
          <t>entities</t>
        </is>
      </c>
      <c r="E28" s="24" t="inlineStr"/>
      <c r="F28" s="23" t="inlineStr">
        <is>
          <t>Sum across France, UK, UAE, Morocco, KSA, Egypt.</t>
        </is>
      </c>
    </row>
    <row r="29">
      <c r="B29" s="16" t="inlineStr">
        <is>
          <t xml:space="preserve">   Eng-heavy firms - focus-6 total</t>
        </is>
      </c>
      <c r="C29" s="25">
        <f>(Assumptions!$C$14+Assumptions!$C$15+Assumptions!$C$16+Assumptions!$C$17+Assumptions!$C$18+Assumptions!$C$19)</f>
        <v/>
      </c>
      <c r="D29" s="23" t="inlineStr">
        <is>
          <t>entities</t>
        </is>
      </c>
      <c r="E29" s="24" t="inlineStr"/>
      <c r="F29" s="23" t="inlineStr">
        <is>
          <t>Sum across France, UK, UAE, Morocco, KSA, Egypt.</t>
        </is>
      </c>
    </row>
    <row r="30">
      <c r="B30" s="16" t="inlineStr">
        <is>
          <t xml:space="preserve">   Mid-size firms - focus-6 total</t>
        </is>
      </c>
      <c r="C30" s="25">
        <f>(Assumptions!$C$21+Assumptions!$C$22+Assumptions!$C$23+Assumptions!$C$24+Assumptions!$C$25+Assumptions!$C$26)</f>
        <v/>
      </c>
      <c r="D30" s="23" t="inlineStr">
        <is>
          <t>entities</t>
        </is>
      </c>
      <c r="E30" s="24" t="inlineStr"/>
      <c r="F30" s="23" t="inlineStr">
        <is>
          <t>Sum across France, UK, UAE, Morocco, KSA, Egypt.</t>
        </is>
      </c>
    </row>
    <row r="31" ht="20" customHeight="1">
      <c r="B31" s="4" t="inlineStr">
        <is>
          <t>1b. Market breadth toggle  (1=Engineers, 2=White-collar, 3=Narrower)</t>
        </is>
      </c>
      <c r="C31" s="5" t="n"/>
      <c r="D31" s="5" t="n"/>
      <c r="E31" s="5" t="n"/>
      <c r="F31" s="5" t="n"/>
    </row>
    <row r="32">
      <c r="B32" s="16" t="inlineStr">
        <is>
          <t>Active breadth mode (1 / 2 / 3)</t>
        </is>
      </c>
      <c r="C32" s="26" t="n">
        <v>1</v>
      </c>
      <c r="D32" s="23" t="inlineStr">
        <is>
          <t>mode</t>
        </is>
      </c>
      <c r="E32" s="24" t="inlineStr"/>
      <c r="F32" s="23" t="inlineStr">
        <is>
          <t>1: tech/eng focus (current). 2: all structured white-collar hiring (Aida's broader view). 3: narrower high-conviction core.</t>
        </is>
      </c>
    </row>
    <row r="33">
      <c r="B33" s="16" t="inlineStr">
        <is>
          <t xml:space="preserve">   Active breadth (label)</t>
        </is>
      </c>
      <c r="C33" s="27">
        <f>CHOOSE(Assumptions!$C$32,"1 Engineers only","2 White-collar hiring","3 Narrower use case")</f>
        <v/>
      </c>
      <c r="D33" s="23" t="inlineStr"/>
      <c r="E33" s="24" t="inlineStr"/>
      <c r="F33" s="23" t="inlineStr">
        <is>
          <t>Driven by the toggle above.</t>
        </is>
      </c>
    </row>
    <row r="34">
      <c r="B34" s="11" t="inlineStr">
        <is>
          <t>Breadth multiplier by segment</t>
        </is>
      </c>
      <c r="C34" s="24" t="inlineStr">
        <is>
          <t>1 Eng</t>
        </is>
      </c>
      <c r="D34" s="24" t="inlineStr">
        <is>
          <t>2 White-collar</t>
        </is>
      </c>
      <c r="E34" s="24" t="inlineStr">
        <is>
          <t>3 Narrower</t>
        </is>
      </c>
      <c r="F34" s="3" t="inlineStr">
        <is>
          <t>Logic</t>
        </is>
      </c>
    </row>
    <row r="35">
      <c r="B35" s="12" t="inlineStr">
        <is>
          <t xml:space="preserve">   Agencies</t>
        </is>
      </c>
      <c r="C35" s="28" t="n">
        <v>1</v>
      </c>
      <c r="D35" s="28" t="n">
        <v>7</v>
      </c>
      <c r="E35" s="28" t="n">
        <v>1</v>
      </c>
      <c r="F35" s="3" t="inlineStr">
        <is>
          <t>Tech agencies -&gt; all recruitment agencies (tech ~10-15% of total).</t>
        </is>
      </c>
    </row>
    <row r="36">
      <c r="B36" s="12" t="inlineStr">
        <is>
          <t xml:space="preserve">   Eng-heavy firms</t>
        </is>
      </c>
      <c r="C36" s="28" t="n">
        <v>1</v>
      </c>
      <c r="D36" s="28" t="n">
        <v>4</v>
      </c>
      <c r="E36" s="28" t="n">
        <v>0.5</v>
      </c>
      <c r="F36" s="3" t="inlineStr">
        <is>
          <t>Tech firms -&gt; all firms with structured white-collar hiring.</t>
        </is>
      </c>
    </row>
    <row r="37">
      <c r="B37" s="12" t="inlineStr">
        <is>
          <t xml:space="preserve">   Mid-size firms</t>
        </is>
      </c>
      <c r="C37" s="28" t="n">
        <v>1</v>
      </c>
      <c r="D37" s="28" t="n">
        <v>3</v>
      </c>
      <c r="E37" s="28" t="n">
        <v>0.2</v>
      </c>
      <c r="F37" s="3" t="inlineStr">
        <is>
          <t>Eng-hiring mid-size -&gt; all mid-size structured hirers (2) / core only (3).</t>
        </is>
      </c>
    </row>
    <row r="38">
      <c r="B38" s="20" t="inlineStr">
        <is>
          <t>Effective addressable entities (calc = subtotal x active breadth mult)</t>
        </is>
      </c>
      <c r="C38" s="21" t="n"/>
      <c r="D38" s="21" t="n"/>
      <c r="E38" s="21" t="n"/>
      <c r="F38" s="21" t="n"/>
    </row>
    <row r="39">
      <c r="B39" s="16" t="inlineStr">
        <is>
          <t xml:space="preserve">   Agencies - effective</t>
        </is>
      </c>
      <c r="C39" s="25">
        <f>Assumptions!$C$28*CHOOSE(Assumptions!$C$32,$C$35,$D$35,$E$35)</f>
        <v/>
      </c>
      <c r="D39" s="23" t="inlineStr">
        <is>
          <t>entities</t>
        </is>
      </c>
      <c r="E39" s="24" t="inlineStr"/>
      <c r="F39" s="23" t="inlineStr">
        <is>
          <t>Focus-6 subtotal x active breadth multiplier.</t>
        </is>
      </c>
    </row>
    <row r="40">
      <c r="B40" s="16" t="inlineStr">
        <is>
          <t xml:space="preserve">   Eng-heavy firms - effective</t>
        </is>
      </c>
      <c r="C40" s="25">
        <f>Assumptions!$C$29*CHOOSE(Assumptions!$C$32,$C$36,$D$36,$E$36)</f>
        <v/>
      </c>
      <c r="D40" s="23" t="inlineStr">
        <is>
          <t>entities</t>
        </is>
      </c>
      <c r="E40" s="24" t="inlineStr"/>
      <c r="F40" s="23" t="inlineStr">
        <is>
          <t>Focus-6 subtotal x active breadth multiplier.</t>
        </is>
      </c>
    </row>
    <row r="41">
      <c r="B41" s="16" t="inlineStr">
        <is>
          <t xml:space="preserve">   Mid-size firms - effective</t>
        </is>
      </c>
      <c r="C41" s="25">
        <f>Assumptions!$C$30*CHOOSE(Assumptions!$C$32,$C$37,$D$37,$E$37)</f>
        <v/>
      </c>
      <c r="D41" s="23" t="inlineStr">
        <is>
          <t>entities</t>
        </is>
      </c>
      <c r="E41" s="24" t="inlineStr"/>
      <c r="F41" s="23" t="inlineStr">
        <is>
          <t>Focus-6 subtotal x active breadth multiplier.</t>
        </is>
      </c>
    </row>
    <row r="42" ht="20" customHeight="1">
      <c r="B42" s="4" t="inlineStr">
        <is>
          <t>2.  Share that fits the structured-evaluation use case</t>
        </is>
      </c>
      <c r="C42" s="5" t="n"/>
      <c r="D42" s="5" t="n"/>
      <c r="E42" s="5" t="n"/>
      <c r="F42" s="5" t="n"/>
    </row>
    <row r="43">
      <c r="B43" s="16" t="inlineStr">
        <is>
          <t>Agencies - % fit use case</t>
        </is>
      </c>
      <c r="C43" s="29" t="n">
        <v>0.55</v>
      </c>
      <c r="D43" s="23" t="inlineStr">
        <is>
          <t>%</t>
        </is>
      </c>
      <c r="E43" s="24" t="inlineStr"/>
      <c r="F43" s="23" t="inlineStr">
        <is>
          <t>Tech recruiting agencies run high req volume; structured assessment is core to their value-add. High fit.</t>
        </is>
      </c>
    </row>
    <row r="44">
      <c r="B44" s="16" t="inlineStr">
        <is>
          <t>Eng-heavy firms - % fit use case</t>
        </is>
      </c>
      <c r="C44" s="29" t="n">
        <v>0.15</v>
      </c>
      <c r="D44" s="23" t="inlineStr">
        <is>
          <t>%</t>
        </is>
      </c>
      <c r="E44" s="24" t="inlineStr"/>
      <c r="F44" s="23" t="inlineStr">
        <is>
          <t>Broad tech-firm base is ~95% micro (&lt;50 staff, solo dev shops). Only volume hirers run structured multi-candidate evaluation. Deliberately low.</t>
        </is>
      </c>
    </row>
    <row r="45">
      <c r="B45" s="16" t="inlineStr">
        <is>
          <t>Mid-size firms - % fit use case</t>
        </is>
      </c>
      <c r="C45" s="29" t="n">
        <v>0.25</v>
      </c>
      <c r="D45" s="23" t="inlineStr">
        <is>
          <t>%</t>
        </is>
      </c>
      <c r="E45" s="24" t="inlineStr"/>
      <c r="F45" s="23" t="inlineStr">
        <is>
          <t>ICP pain (inconsistent evaluation) but lower adoption propensity / hire sporadically. Conservative.</t>
        </is>
      </c>
    </row>
    <row r="46" ht="20" customHeight="1">
      <c r="B46" s="4" t="inlineStr">
        <is>
          <t>3.  Pricing  (usage-based: $/test, packs)  [given]</t>
        </is>
      </c>
      <c r="C46" s="5" t="n"/>
      <c r="D46" s="5" t="n"/>
      <c r="E46" s="5" t="n"/>
      <c r="F46" s="5" t="n"/>
    </row>
    <row r="47">
      <c r="B47" s="16" t="inlineStr">
        <is>
          <t>PAYG base price per test</t>
        </is>
      </c>
      <c r="C47" s="30" t="n">
        <v>14</v>
      </c>
      <c r="D47" s="23" t="inlineStr">
        <is>
          <t>$/test</t>
        </is>
      </c>
      <c r="E47" s="24" t="inlineStr">
        <is>
          <t>S7</t>
        </is>
      </c>
      <c r="F47" s="23" t="inlineStr">
        <is>
          <t>Finalized BP base (was $15). Benchmark: TestGorilla ~$4.3/candidate, TestDome $7-20, HackerRank $15-20, Adaface entry $15. $14 sits at premium end.</t>
        </is>
      </c>
    </row>
    <row r="48">
      <c r="B48" s="16" t="inlineStr">
        <is>
          <t>Small pack discount (20 tests)</t>
        </is>
      </c>
      <c r="C48" s="31" t="n">
        <v>0.1</v>
      </c>
      <c r="D48" s="23" t="inlineStr">
        <is>
          <t>%</t>
        </is>
      </c>
      <c r="E48" s="24" t="inlineStr"/>
      <c r="F48" s="23" t="inlineStr">
        <is>
          <t>Given.</t>
        </is>
      </c>
    </row>
    <row r="49">
      <c r="B49" s="16" t="inlineStr">
        <is>
          <t>Medium pack discount (100 tests)</t>
        </is>
      </c>
      <c r="C49" s="31" t="n">
        <v>0.15</v>
      </c>
      <c r="D49" s="23" t="inlineStr">
        <is>
          <t>%</t>
        </is>
      </c>
      <c r="E49" s="24" t="inlineStr"/>
      <c r="F49" s="23" t="inlineStr">
        <is>
          <t>Given.</t>
        </is>
      </c>
    </row>
    <row r="50">
      <c r="B50" s="16" t="inlineStr">
        <is>
          <t>Enterprise pack discount (1,000 tests)</t>
        </is>
      </c>
      <c r="C50" s="31" t="n">
        <v>0.2</v>
      </c>
      <c r="D50" s="23" t="inlineStr">
        <is>
          <t>%</t>
        </is>
      </c>
      <c r="E50" s="24" t="inlineStr"/>
      <c r="F50" s="23" t="inlineStr">
        <is>
          <t>Finalized BP top tier: 1,000-test Enterprise pack at $11,200 (= $11.20/test). Replaces old 200-unit Large and the flat enterprise fee.</t>
        </is>
      </c>
    </row>
    <row r="51">
      <c r="B51" s="16" t="inlineStr">
        <is>
          <t xml:space="preserve">   Net price - PAYG</t>
        </is>
      </c>
      <c r="C51" s="32">
        <f>Assumptions!$C$47</f>
        <v/>
      </c>
      <c r="D51" s="23" t="inlineStr">
        <is>
          <t>$/test</t>
        </is>
      </c>
      <c r="E51" s="24" t="inlineStr"/>
      <c r="F51" s="23" t="inlineStr"/>
    </row>
    <row r="52">
      <c r="B52" s="16" t="inlineStr">
        <is>
          <t xml:space="preserve">   Net price - Small</t>
        </is>
      </c>
      <c r="C52" s="32">
        <f>Assumptions!$C$47*(1-Assumptions!$C$48)</f>
        <v/>
      </c>
      <c r="D52" s="23" t="inlineStr">
        <is>
          <t>$/test</t>
        </is>
      </c>
      <c r="E52" s="24" t="inlineStr"/>
      <c r="F52" s="23" t="inlineStr"/>
    </row>
    <row r="53">
      <c r="B53" s="16" t="inlineStr">
        <is>
          <t xml:space="preserve">   Net price - Medium</t>
        </is>
      </c>
      <c r="C53" s="32">
        <f>Assumptions!$C$47*(1-Assumptions!$C$49)</f>
        <v/>
      </c>
      <c r="D53" s="23" t="inlineStr">
        <is>
          <t>$/test</t>
        </is>
      </c>
      <c r="E53" s="24" t="inlineStr"/>
      <c r="F53" s="23" t="inlineStr"/>
    </row>
    <row r="54">
      <c r="B54" s="16" t="inlineStr">
        <is>
          <t xml:space="preserve">   Net price - Enterprise (1,000-pack)</t>
        </is>
      </c>
      <c r="C54" s="32">
        <f>Assumptions!$C$47*(1-Assumptions!$C$50)</f>
        <v/>
      </c>
      <c r="D54" s="23" t="inlineStr">
        <is>
          <t>$/test</t>
        </is>
      </c>
      <c r="E54" s="24" t="inlineStr"/>
      <c r="F54" s="23" t="inlineStr"/>
    </row>
    <row r="55" ht="20" customHeight="1">
      <c r="B55" s="4" t="inlineStr">
        <is>
          <t>4.  Pack mix  (share of accounts on each plan)  [pack-led per finalized BP]</t>
        </is>
      </c>
      <c r="C55" s="5" t="n"/>
      <c r="D55" s="5" t="n"/>
      <c r="E55" s="5" t="n"/>
      <c r="F55" s="5" t="n"/>
    </row>
    <row r="56">
      <c r="B56" s="16" t="inlineStr">
        <is>
          <t>PAYG share</t>
        </is>
      </c>
      <c r="C56" s="31" t="n">
        <v>0.1</v>
      </c>
      <c r="D56" s="23" t="inlineStr">
        <is>
          <t>%</t>
        </is>
      </c>
      <c r="E56" s="24" t="inlineStr"/>
      <c r="F56" s="23" t="inlineStr">
        <is>
          <t>Finalized BP is pack-led; PAYG is a thin trial tier, not the base.</t>
        </is>
      </c>
    </row>
    <row r="57">
      <c r="B57" s="16" t="inlineStr">
        <is>
          <t>Small pack share</t>
        </is>
      </c>
      <c r="C57" s="31" t="n">
        <v>0.35</v>
      </c>
      <c r="D57" s="23" t="inlineStr">
        <is>
          <t>%</t>
        </is>
      </c>
      <c r="E57" s="24" t="inlineStr"/>
      <c r="F57" s="23" t="inlineStr"/>
    </row>
    <row r="58">
      <c r="B58" s="16" t="inlineStr">
        <is>
          <t>Medium pack share</t>
        </is>
      </c>
      <c r="C58" s="31" t="n">
        <v>0.35</v>
      </c>
      <c r="D58" s="23" t="inlineStr">
        <is>
          <t>%</t>
        </is>
      </c>
      <c r="E58" s="24" t="inlineStr"/>
      <c r="F58" s="23" t="inlineStr"/>
    </row>
    <row r="59">
      <c r="B59" s="16" t="inlineStr">
        <is>
          <t>Enterprise (1,000-pack) share</t>
        </is>
      </c>
      <c r="C59" s="31" t="n">
        <v>0.2</v>
      </c>
      <c r="D59" s="23" t="inlineStr">
        <is>
          <t>%</t>
        </is>
      </c>
      <c r="E59" s="24" t="inlineStr"/>
      <c r="F59" s="23" t="inlineStr">
        <is>
          <t>Heaviest buyers; matches finalized BP customer mix.</t>
        </is>
      </c>
    </row>
    <row r="60">
      <c r="B60" s="16" t="inlineStr">
        <is>
          <t xml:space="preserve">   Mix check (=100%)</t>
        </is>
      </c>
      <c r="C60" s="33">
        <f>Assumptions!$C$56+Assumptions!$C$57+Assumptions!$C$58+Assumptions!$C$59</f>
        <v/>
      </c>
      <c r="D60" s="23" t="inlineStr">
        <is>
          <t>%</t>
        </is>
      </c>
      <c r="E60" s="24" t="inlineStr"/>
      <c r="F60" s="23" t="inlineStr">
        <is>
          <t>Must equal 100%.</t>
        </is>
      </c>
    </row>
    <row r="61">
      <c r="B61" s="16" t="inlineStr">
        <is>
          <t xml:space="preserve">   Blended net price per test</t>
        </is>
      </c>
      <c r="C61" s="32">
        <f>(Assumptions!$C$56*Assumptions!$C$51+Assumptions!$C$57*Assumptions!$C$52+Assumptions!$C$58*Assumptions!$C$53+Assumptions!$C$59*Assumptions!$C$54)/(Assumptions!$C$56+Assumptions!$C$57+Assumptions!$C$58+Assumptions!$C$59)</f>
        <v/>
      </c>
      <c r="D61" s="23" t="inlineStr">
        <is>
          <t>$/test</t>
        </is>
      </c>
      <c r="E61" s="24" t="inlineStr"/>
      <c r="F61" s="23" t="inlineStr">
        <is>
          <t>Mix-weighted net price across all four packs.</t>
        </is>
      </c>
    </row>
    <row r="62" ht="20" customHeight="1">
      <c r="B62" s="4" t="inlineStr">
        <is>
          <t>5.  Tests per account / year  (roles x candidates per role)</t>
        </is>
      </c>
      <c r="C62" s="5" t="n"/>
      <c r="D62" s="5" t="n"/>
      <c r="E62" s="5" t="n"/>
      <c r="F62" s="5" t="n"/>
    </row>
    <row r="63">
      <c r="B63" s="16" t="inlineStr">
        <is>
          <t>Tests-per-account scalar (sensitivity handle)</t>
        </is>
      </c>
      <c r="C63" s="34" t="n">
        <v>1</v>
      </c>
      <c r="D63" s="23" t="inlineStr">
        <is>
          <t>x</t>
        </is>
      </c>
      <c r="E63" s="24" t="inlineStr"/>
      <c r="F63" s="23" t="inlineStr">
        <is>
          <t>Global multiplier on tests/account. Base=1.00; flex in sensitivity.</t>
        </is>
      </c>
    </row>
    <row r="64">
      <c r="B64" s="16" t="inlineStr">
        <is>
          <t xml:space="preserve">   Agencies - roles hired / yr</t>
        </is>
      </c>
      <c r="C64" s="22" t="n">
        <v>80</v>
      </c>
      <c r="D64" s="23" t="inlineStr">
        <is>
          <t>roles</t>
        </is>
      </c>
      <c r="E64" s="24" t="inlineStr"/>
      <c r="F64" s="23" t="inlineStr">
        <is>
          <t>High req throughput - many client roles, several candidates screened each.</t>
        </is>
      </c>
    </row>
    <row r="65">
      <c r="B65" s="16" t="inlineStr">
        <is>
          <t xml:space="preserve">   Agencies - candidates tested / role</t>
        </is>
      </c>
      <c r="C65" s="22" t="n">
        <v>6</v>
      </c>
      <c r="D65" s="23" t="inlineStr">
        <is>
          <t>cand</t>
        </is>
      </c>
      <c r="E65" s="24" t="inlineStr"/>
      <c r="F65" s="23" t="inlineStr"/>
    </row>
    <row r="66">
      <c r="B66" s="16" t="inlineStr">
        <is>
          <t xml:space="preserve">   Agencies - tests / account / yr</t>
        </is>
      </c>
      <c r="C66" s="25">
        <f>Assumptions!$C$64*Assumptions!$C$65*Assumptions!$C$63</f>
        <v/>
      </c>
      <c r="D66" s="23" t="inlineStr">
        <is>
          <t>tests</t>
        </is>
      </c>
      <c r="E66" s="24" t="inlineStr"/>
      <c r="F66" s="23" t="inlineStr">
        <is>
          <t>roles x candidates x scalar.</t>
        </is>
      </c>
    </row>
    <row r="67">
      <c r="B67" s="16" t="inlineStr">
        <is>
          <t xml:space="preserve">   Eng-heavy firms - roles hired / yr</t>
        </is>
      </c>
      <c r="C67" s="22" t="n">
        <v>25</v>
      </c>
      <c r="D67" s="23" t="inlineStr">
        <is>
          <t>roles</t>
        </is>
      </c>
      <c r="E67" s="24" t="inlineStr"/>
      <c r="F67" s="23" t="inlineStr">
        <is>
          <t>Steady in-house eng hiring.</t>
        </is>
      </c>
    </row>
    <row r="68">
      <c r="B68" s="16" t="inlineStr">
        <is>
          <t xml:space="preserve">   Eng-heavy firms - candidates tested / role</t>
        </is>
      </c>
      <c r="C68" s="22" t="n">
        <v>6</v>
      </c>
      <c r="D68" s="23" t="inlineStr">
        <is>
          <t>cand</t>
        </is>
      </c>
      <c r="E68" s="24" t="inlineStr"/>
      <c r="F68" s="23" t="inlineStr"/>
    </row>
    <row r="69">
      <c r="B69" s="16" t="inlineStr">
        <is>
          <t xml:space="preserve">   Eng-heavy firms - tests / account / yr</t>
        </is>
      </c>
      <c r="C69" s="25">
        <f>Assumptions!$C$67*Assumptions!$C$68*Assumptions!$C$63</f>
        <v/>
      </c>
      <c r="D69" s="23" t="inlineStr">
        <is>
          <t>tests</t>
        </is>
      </c>
      <c r="E69" s="24" t="inlineStr"/>
      <c r="F69" s="23" t="inlineStr">
        <is>
          <t>roles x candidates x scalar.</t>
        </is>
      </c>
    </row>
    <row r="70">
      <c r="B70" s="16" t="inlineStr">
        <is>
          <t xml:space="preserve">   Mid-size firms - roles hired / yr</t>
        </is>
      </c>
      <c r="C70" s="22" t="n">
        <v>10</v>
      </c>
      <c r="D70" s="23" t="inlineStr">
        <is>
          <t>roles</t>
        </is>
      </c>
      <c r="E70" s="24" t="inlineStr"/>
      <c r="F70" s="23" t="inlineStr">
        <is>
          <t>Sporadic, lower-volume hiring.</t>
        </is>
      </c>
    </row>
    <row r="71">
      <c r="B71" s="16" t="inlineStr">
        <is>
          <t xml:space="preserve">   Mid-size firms - candidates tested / role</t>
        </is>
      </c>
      <c r="C71" s="22" t="n">
        <v>5</v>
      </c>
      <c r="D71" s="23" t="inlineStr">
        <is>
          <t>cand</t>
        </is>
      </c>
      <c r="E71" s="24" t="inlineStr"/>
      <c r="F71" s="23" t="inlineStr"/>
    </row>
    <row r="72">
      <c r="B72" s="16" t="inlineStr">
        <is>
          <t xml:space="preserve">   Mid-size firms - tests / account / yr</t>
        </is>
      </c>
      <c r="C72" s="25">
        <f>Assumptions!$C$70*Assumptions!$C$71*Assumptions!$C$63</f>
        <v/>
      </c>
      <c r="D72" s="23" t="inlineStr">
        <is>
          <t>tests</t>
        </is>
      </c>
      <c r="E72" s="24" t="inlineStr"/>
      <c r="F72" s="23" t="inlineStr">
        <is>
          <t>roles x candidates x scalar.</t>
        </is>
      </c>
    </row>
    <row r="73">
      <c r="B73" s="16" t="inlineStr">
        <is>
          <t xml:space="preserve">   Channel acct - roles hired / yr</t>
        </is>
      </c>
      <c r="C73" s="22" t="n">
        <v>40</v>
      </c>
      <c r="D73" s="23" t="inlineStr">
        <is>
          <t>roles</t>
        </is>
      </c>
      <c r="E73" s="24" t="inlineStr"/>
      <c r="F73" s="23" t="inlineStr">
        <is>
          <t>Manatal users: mix of agencies + in-house recruiters.</t>
        </is>
      </c>
    </row>
    <row r="74">
      <c r="B74" s="16" t="inlineStr">
        <is>
          <t xml:space="preserve">   Channel acct - candidates tested / role</t>
        </is>
      </c>
      <c r="C74" s="22" t="n">
        <v>5</v>
      </c>
      <c r="D74" s="23" t="inlineStr">
        <is>
          <t>cand</t>
        </is>
      </c>
      <c r="E74" s="24" t="inlineStr"/>
      <c r="F74" s="23" t="inlineStr"/>
    </row>
    <row r="75">
      <c r="B75" s="16" t="inlineStr">
        <is>
          <t xml:space="preserve">   Channel acct - tests / account / yr</t>
        </is>
      </c>
      <c r="C75" s="25">
        <f>Assumptions!$C$73*Assumptions!$C$74*Assumptions!$C$63</f>
        <v/>
      </c>
      <c r="D75" s="23" t="inlineStr">
        <is>
          <t>tests</t>
        </is>
      </c>
      <c r="E75" s="24" t="inlineStr"/>
      <c r="F75" s="23" t="inlineStr"/>
    </row>
    <row r="76" ht="20" customHeight="1">
      <c r="B76" s="4" t="inlineStr">
        <is>
          <t>6.  ACV per account  (revenue/yr)</t>
        </is>
      </c>
      <c r="C76" s="5" t="n"/>
      <c r="D76" s="5" t="n"/>
      <c r="E76" s="5" t="n"/>
      <c r="F76" s="5" t="n"/>
    </row>
    <row r="77">
      <c r="B77" s="16" t="inlineStr">
        <is>
          <t xml:space="preserve">   Agencies - ACV / account / yr</t>
        </is>
      </c>
      <c r="C77" s="25">
        <f>Assumptions!$C$66*Assumptions!$C$61</f>
        <v/>
      </c>
      <c r="D77" s="23" t="inlineStr">
        <is>
          <t>$/yr</t>
        </is>
      </c>
      <c r="E77" s="24" t="inlineStr"/>
      <c r="F77" s="23" t="inlineStr">
        <is>
          <t>tests/account x blended net price per test.</t>
        </is>
      </c>
    </row>
    <row r="78">
      <c r="B78" s="16" t="inlineStr">
        <is>
          <t xml:space="preserve">   Eng-heavy firms - ACV / account / yr</t>
        </is>
      </c>
      <c r="C78" s="25">
        <f>Assumptions!$C$69*Assumptions!$C$61</f>
        <v/>
      </c>
      <c r="D78" s="23" t="inlineStr">
        <is>
          <t>$/yr</t>
        </is>
      </c>
      <c r="E78" s="24" t="inlineStr"/>
      <c r="F78" s="23" t="inlineStr">
        <is>
          <t>tests/account x blended net price per test.</t>
        </is>
      </c>
    </row>
    <row r="79">
      <c r="B79" s="16" t="inlineStr">
        <is>
          <t xml:space="preserve">   Mid-size firms - ACV / account / yr</t>
        </is>
      </c>
      <c r="C79" s="25">
        <f>Assumptions!$C$72*Assumptions!$C$61</f>
        <v/>
      </c>
      <c r="D79" s="23" t="inlineStr">
        <is>
          <t>$/yr</t>
        </is>
      </c>
      <c r="E79" s="24" t="inlineStr"/>
      <c r="F79" s="23" t="inlineStr">
        <is>
          <t>tests/account x blended net price per test.</t>
        </is>
      </c>
    </row>
    <row r="80">
      <c r="B80" s="16" t="inlineStr">
        <is>
          <t xml:space="preserve">   Channel acct - ACV / account / yr</t>
        </is>
      </c>
      <c r="C80" s="25">
        <f>Assumptions!$C$75*Assumptions!$C$61</f>
        <v/>
      </c>
      <c r="D80" s="23" t="inlineStr">
        <is>
          <t>$/yr</t>
        </is>
      </c>
      <c r="E80" s="24" t="inlineStr"/>
      <c r="F80" s="23" t="inlineStr">
        <is>
          <t>tests/account x blended net price per test.</t>
        </is>
      </c>
    </row>
    <row r="81" ht="20" customHeight="1">
      <c r="B81" s="4" t="inlineStr">
        <is>
          <t>7.  SOM - Channel: partner distribution portfolio  [beyond Manatal]</t>
        </is>
      </c>
      <c r="C81" s="5" t="n"/>
      <c r="D81" s="5" t="n"/>
      <c r="E81" s="5" t="n"/>
      <c r="F81" s="5" t="n"/>
    </row>
    <row r="82">
      <c r="B82" s="11" t="inlineStr">
        <is>
          <t>Partner  (set On=1 to include)</t>
        </is>
      </c>
      <c r="C82" s="24" t="inlineStr">
        <is>
          <t>On 1/0</t>
        </is>
      </c>
      <c r="D82" s="24" t="inlineStr">
        <is>
          <t>Client base</t>
        </is>
      </c>
      <c r="E82" s="24" t="inlineStr">
        <is>
          <t>ICP-rel%</t>
        </is>
      </c>
      <c r="F82" s="24" t="inlineStr">
        <is>
          <t>Attach y3</t>
        </is>
      </c>
      <c r="G82" s="24" t="inlineStr">
        <is>
          <t>Accounts</t>
        </is>
      </c>
    </row>
    <row r="83">
      <c r="B83" s="12" t="inlineStr">
        <is>
          <t>Manatal (ATS, live)</t>
        </is>
      </c>
      <c r="C83" s="35" t="n">
        <v>1</v>
      </c>
      <c r="D83" s="22" t="n">
        <v>10000</v>
      </c>
      <c r="E83" s="31" t="n">
        <v>0.45</v>
      </c>
      <c r="F83" s="29" t="n">
        <v>0.08</v>
      </c>
      <c r="G83" s="36">
        <f>C83*D83*E83*F83</f>
        <v/>
      </c>
      <c r="H83" s="24" t="inlineStr">
        <is>
          <t>S8</t>
        </is>
      </c>
    </row>
    <row r="84">
      <c r="B84" s="12" t="inlineStr">
        <is>
          <t>Socium (2nd ATS, exploring)</t>
        </is>
      </c>
      <c r="C84" s="35" t="n">
        <v>1</v>
      </c>
      <c r="D84" s="22" t="n">
        <v>3000</v>
      </c>
      <c r="E84" s="31" t="n">
        <v>0.45</v>
      </c>
      <c r="F84" s="29" t="n">
        <v>0.05</v>
      </c>
      <c r="G84" s="36">
        <f>C84*D84*E84*F84</f>
        <v/>
      </c>
      <c r="H84" s="24" t="inlineStr">
        <is>
          <t>S9</t>
        </is>
      </c>
    </row>
    <row r="85">
      <c r="B85" s="12" t="inlineStr">
        <is>
          <t>Other HR-tech / ATS players</t>
        </is>
      </c>
      <c r="C85" s="35" t="n">
        <v>1</v>
      </c>
      <c r="D85" s="22" t="n">
        <v>15000</v>
      </c>
      <c r="E85" s="31" t="n">
        <v>0.35</v>
      </c>
      <c r="F85" s="29" t="n">
        <v>0.03</v>
      </c>
      <c r="G85" s="36">
        <f>C85*D85*E85*F85</f>
        <v/>
      </c>
      <c r="H85" s="24" t="inlineStr"/>
    </row>
    <row r="86">
      <c r="B86" s="12" t="inlineStr">
        <is>
          <t>Staffing-firm networks</t>
        </is>
      </c>
      <c r="C86" s="35" t="n">
        <v>1</v>
      </c>
      <c r="D86" s="22" t="n">
        <v>5000</v>
      </c>
      <c r="E86" s="31" t="n">
        <v>0.6</v>
      </c>
      <c r="F86" s="29" t="n">
        <v>0.04</v>
      </c>
      <c r="G86" s="36">
        <f>C86*D86*E86*F86</f>
        <v/>
      </c>
      <c r="H86" s="24" t="inlineStr"/>
    </row>
    <row r="87">
      <c r="B87" s="12" t="inlineStr">
        <is>
          <t>HR consultancies</t>
        </is>
      </c>
      <c r="C87" s="35" t="n">
        <v>1</v>
      </c>
      <c r="D87" s="22" t="n">
        <v>3000</v>
      </c>
      <c r="E87" s="31" t="n">
        <v>0.5</v>
      </c>
      <c r="F87" s="29" t="n">
        <v>0.04</v>
      </c>
      <c r="G87" s="36">
        <f>C87*D87*E87*F87</f>
        <v/>
      </c>
      <c r="H87" s="24" t="inlineStr"/>
    </row>
    <row r="88">
      <c r="B88" s="12" t="inlineStr">
        <is>
          <t>System integrators</t>
        </is>
      </c>
      <c r="C88" s="35" t="n">
        <v>1</v>
      </c>
      <c r="D88" s="22" t="n">
        <v>2000</v>
      </c>
      <c r="E88" s="31" t="n">
        <v>0.4</v>
      </c>
      <c r="F88" s="29" t="n">
        <v>0.03</v>
      </c>
      <c r="G88" s="36">
        <f>C88*D88*E88*F88</f>
        <v/>
      </c>
      <c r="H88" s="24" t="inlineStr"/>
    </row>
    <row r="89">
      <c r="B89" s="14" t="inlineStr">
        <is>
          <t>Channel base accounts (portfolio, y3)</t>
        </is>
      </c>
      <c r="G89" s="37">
        <f>SUM(G83:G88)</f>
        <v/>
      </c>
    </row>
    <row r="90">
      <c r="B90" s="16" t="inlineStr">
        <is>
          <t>Channel attach scalar (sensitivity handle)</t>
        </is>
      </c>
      <c r="C90" s="34" t="n">
        <v>1</v>
      </c>
      <c r="D90" s="23" t="inlineStr">
        <is>
          <t>x</t>
        </is>
      </c>
      <c r="E90" s="24" t="inlineStr"/>
      <c r="F90" s="23" t="inlineStr">
        <is>
          <t>Global multiplier on all partner attach rates. Base=1.00; flex in sensitivity. (Channel tests/acct &amp; ACV in secs 5-6.)</t>
        </is>
      </c>
    </row>
    <row r="91" ht="20" customHeight="1">
      <c r="B91" s="4" t="inlineStr">
        <is>
          <t>8.  SOM - Direct route (self-serve + sales-led)</t>
        </is>
      </c>
      <c r="C91" s="5" t="n"/>
      <c r="D91" s="5" t="n"/>
      <c r="E91" s="5" t="n"/>
      <c r="F91" s="5" t="n"/>
    </row>
    <row r="92">
      <c r="B92" s="16" t="inlineStr">
        <is>
          <t>3-yr penetration of serviceable SAM accounts</t>
        </is>
      </c>
      <c r="C92" s="29" t="n">
        <v>0.008</v>
      </c>
      <c r="D92" s="23" t="inlineStr">
        <is>
          <t>%</t>
        </is>
      </c>
      <c r="E92" s="24" t="inlineStr"/>
      <c r="F92" s="23" t="inlineStr">
        <is>
          <t>Direct capture is gated by low trial-to-paid; a pre-seed wins only a thin slice of the large serviceable base.</t>
        </is>
      </c>
    </row>
    <row r="93">
      <c r="B93" s="16" t="inlineStr">
        <is>
          <t>Monthly website traffic</t>
        </is>
      </c>
      <c r="C93" s="22" t="n">
        <v>8000</v>
      </c>
      <c r="D93" s="23" t="inlineStr">
        <is>
          <t>visits/mo</t>
        </is>
      </c>
      <c r="E93" s="24" t="inlineStr"/>
      <c r="F93" s="23" t="inlineStr">
        <is>
          <t>Self-serve funnel cross-check input (year-3 run-rate).</t>
        </is>
      </c>
    </row>
    <row r="94">
      <c r="B94" s="16" t="inlineStr">
        <is>
          <t>Visit -&gt; free-trial conversion</t>
        </is>
      </c>
      <c r="C94" s="29" t="n">
        <v>0.03</v>
      </c>
      <c r="D94" s="23" t="inlineStr">
        <is>
          <t>%</t>
        </is>
      </c>
      <c r="E94" s="24" t="inlineStr"/>
      <c r="F94" s="23" t="inlineStr"/>
    </row>
    <row r="95">
      <c r="B95" s="16" t="inlineStr">
        <is>
          <t>Trial -&gt; paid conversion</t>
        </is>
      </c>
      <c r="C95" s="29" t="n">
        <v>0.05</v>
      </c>
      <c r="D95" s="23" t="inlineStr">
        <is>
          <t>%</t>
        </is>
      </c>
      <c r="E95" s="24" t="inlineStr">
        <is>
          <t>S8</t>
        </is>
      </c>
      <c r="F95" s="23" t="inlineStr">
        <is>
          <t>Currently LOW - do NOT assume best-in-class. Flagged in GTM notes.</t>
        </is>
      </c>
    </row>
    <row r="96" ht="20" customHeight="1">
      <c r="B96" s="4" t="inlineStr">
        <is>
          <t>9.  Retention &amp; global scope</t>
        </is>
      </c>
      <c r="C96" s="5" t="n"/>
      <c r="D96" s="5" t="n"/>
      <c r="E96" s="5" t="n"/>
      <c r="F96" s="5" t="n"/>
    </row>
    <row r="97">
      <c r="B97" s="16" t="inlineStr">
        <is>
          <t>Steady-state annual retention</t>
        </is>
      </c>
      <c r="C97" s="29" t="n">
        <v>0.9</v>
      </c>
      <c r="D97" s="23" t="inlineStr">
        <is>
          <t>%</t>
        </is>
      </c>
      <c r="E97" s="24" t="inlineStr">
        <is>
          <t>S8</t>
        </is>
      </c>
      <c r="F97" s="23" t="inlineStr">
        <is>
          <t>Finalized BP assumes 7% gross churn (93% retention); held slightly conservative at 90% for the SOM. 100% to date on a tiny base.</t>
        </is>
      </c>
    </row>
    <row r="98">
      <c r="B98" s="16" t="inlineStr">
        <is>
          <t>Focus-6 share of global addressable universe</t>
        </is>
      </c>
      <c r="C98" s="29" t="n">
        <v>0.12</v>
      </c>
      <c r="D98" s="23" t="inlineStr">
        <is>
          <t>%</t>
        </is>
      </c>
      <c r="E98" s="24" t="inlineStr"/>
      <c r="F98" s="23" t="inlineStr">
        <is>
          <t>Focus-6 as % of all geos where product works. Grosses SAM up to TAM. US/India/rest-EU dominate.</t>
        </is>
      </c>
    </row>
    <row r="99" ht="20" customHeight="1">
      <c r="B99" s="4" t="inlineStr">
        <is>
          <t>10. Value delivered  (cost-of-bad-hire anchor)</t>
        </is>
      </c>
      <c r="C99" s="5" t="n"/>
      <c r="D99" s="5" t="n"/>
      <c r="E99" s="5" t="n"/>
      <c r="F99" s="5" t="n"/>
    </row>
    <row r="100">
      <c r="B100" s="16" t="inlineStr">
        <is>
          <t>Cost of a bad hire</t>
        </is>
      </c>
      <c r="C100" s="22" t="n">
        <v>150000</v>
      </c>
      <c r="D100" s="23" t="inlineStr">
        <is>
          <t>$</t>
        </is>
      </c>
      <c r="E100" s="24" t="inlineStr">
        <is>
          <t>S8</t>
        </is>
      </c>
      <c r="F100" s="23" t="inlineStr">
        <is>
          <t>Core value anchor used across sales &amp; fundraising.</t>
        </is>
      </c>
    </row>
    <row r="101">
      <c r="B101" s="16" t="inlineStr">
        <is>
          <t>Tests run per hire placed</t>
        </is>
      </c>
      <c r="C101" s="22" t="n">
        <v>6</v>
      </c>
      <c r="D101" s="23" t="inlineStr">
        <is>
          <t>tests</t>
        </is>
      </c>
      <c r="E101" s="24" t="inlineStr"/>
      <c r="F101" s="23" t="inlineStr">
        <is>
          <t>Candidates assessed per filled role (1 hire/role).</t>
        </is>
      </c>
    </row>
    <row r="102">
      <c r="B102" s="16" t="inlineStr">
        <is>
          <t>Bad-hire rate reduction from structured eval</t>
        </is>
      </c>
      <c r="C102" s="31" t="n">
        <v>0.2</v>
      </c>
      <c r="D102" s="23" t="inlineStr">
        <is>
          <t>%</t>
        </is>
      </c>
      <c r="E102" s="24" t="inlineStr"/>
      <c r="F102" s="23" t="inlineStr">
        <is>
          <t>Assumed share of bad-hire cost avoided via better screening.</t>
        </is>
      </c>
    </row>
    <row r="103" ht="20" customHeight="1">
      <c r="B103" s="4" t="inlineStr">
        <is>
          <t>11. Talent-DB monetization  (2nd revenue stream)  [finalized BP]</t>
        </is>
      </c>
      <c r="C103" s="5" t="n"/>
      <c r="D103" s="5" t="n"/>
      <c r="E103" s="5" t="n"/>
      <c r="F103" s="5" t="n"/>
    </row>
    <row r="104">
      <c r="B104" s="16" t="inlineStr">
        <is>
          <t>Profiles sourced from own DB (mature)</t>
        </is>
      </c>
      <c r="C104" s="29" t="n">
        <v>0.3</v>
      </c>
      <c r="D104" s="23" t="inlineStr">
        <is>
          <t>%</t>
        </is>
      </c>
      <c r="E104" s="24" t="inlineStr">
        <is>
          <t>S7</t>
        </is>
      </c>
      <c r="F104" s="23" t="inlineStr">
        <is>
          <t>Finalized BP ramps 1% (2026) -&gt; 50% (2030); 30% used as mature steady-state. Profiles sourced = tests run x this %.</t>
        </is>
      </c>
    </row>
    <row r="105">
      <c r="B105" s="16" t="inlineStr">
        <is>
          <t>Avg price per sourced profile</t>
        </is>
      </c>
      <c r="C105" s="22" t="n">
        <v>30</v>
      </c>
      <c r="D105" s="23" t="inlineStr">
        <is>
          <t>$</t>
        </is>
      </c>
      <c r="E105" s="24" t="inlineStr">
        <is>
          <t>S7</t>
        </is>
      </c>
      <c r="F105" s="23" t="inlineStr">
        <is>
          <t>Finalized BP: $30 per sourced profile, flat.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B1" s="18" t="inlineStr">
        <is>
          <t>INVIRTUS  -  Revenue potential build  (TAM / SAM / SOM)</t>
        </is>
      </c>
    </row>
    <row r="2">
      <c r="B2" s="19" t="inlineStr">
        <is>
          <t>Bottoms-up: entities x %fit x tests/yr x net $/test, plus talent-DB stream. USD. All drivers live on Assumptions.</t>
        </is>
      </c>
    </row>
    <row r="4" ht="18" customHeight="1">
      <c r="B4" s="4" t="inlineStr">
        <is>
          <t>A.  Serviceable accounts  (focus-6 = SAM geography)</t>
        </is>
      </c>
      <c r="C4" s="5" t="n"/>
      <c r="D4" s="5" t="n"/>
      <c r="E4" s="5" t="n"/>
      <c r="F4" s="5" t="n"/>
      <c r="G4" s="5" t="n"/>
      <c r="H4" s="5" t="n"/>
    </row>
    <row r="5">
      <c r="B5" s="38" t="inlineStr">
        <is>
          <t>Segment</t>
        </is>
      </c>
      <c r="C5" s="38" t="inlineStr">
        <is>
          <t>Entities (focus-6)</t>
        </is>
      </c>
      <c r="D5" s="38" t="inlineStr">
        <is>
          <t>% fit</t>
        </is>
      </c>
      <c r="E5" s="38" t="inlineStr">
        <is>
          <t>Serviceable accts</t>
        </is>
      </c>
      <c r="F5" s="38" t="inlineStr">
        <is>
          <t>Tests/acct/yr</t>
        </is>
      </c>
      <c r="G5" s="38" t="inlineStr">
        <is>
          <t>ACV/acct ($)</t>
        </is>
      </c>
      <c r="H5" s="38" t="inlineStr">
        <is>
          <t>SAM value ($/yr)</t>
        </is>
      </c>
    </row>
    <row r="6">
      <c r="B6" s="12" t="inlineStr">
        <is>
          <t>Tech recruiting agencies</t>
        </is>
      </c>
      <c r="C6" s="36">
        <f>Assumptions!$C$39</f>
        <v/>
      </c>
      <c r="D6" s="39">
        <f>Assumptions!$C$43</f>
        <v/>
      </c>
      <c r="E6" s="36">
        <f>C6*D6</f>
        <v/>
      </c>
      <c r="F6" s="36">
        <f>Assumptions!$C$66</f>
        <v/>
      </c>
      <c r="G6" s="36">
        <f>Assumptions!$C$77</f>
        <v/>
      </c>
      <c r="H6" s="36">
        <f>E6*G6</f>
        <v/>
      </c>
    </row>
    <row r="7">
      <c r="B7" s="12" t="inlineStr">
        <is>
          <t>Engineering-heavy firms</t>
        </is>
      </c>
      <c r="C7" s="36">
        <f>Assumptions!$C$40</f>
        <v/>
      </c>
      <c r="D7" s="39">
        <f>Assumptions!$C$44</f>
        <v/>
      </c>
      <c r="E7" s="36">
        <f>C7*D7</f>
        <v/>
      </c>
      <c r="F7" s="36">
        <f>Assumptions!$C$69</f>
        <v/>
      </c>
      <c r="G7" s="36">
        <f>Assumptions!$C$78</f>
        <v/>
      </c>
      <c r="H7" s="36">
        <f>E7*G7</f>
        <v/>
      </c>
    </row>
    <row r="8">
      <c r="B8" s="12" t="inlineStr">
        <is>
          <t>Mid-size structured-hiring firms</t>
        </is>
      </c>
      <c r="C8" s="36">
        <f>Assumptions!$C$41</f>
        <v/>
      </c>
      <c r="D8" s="39">
        <f>Assumptions!$C$45</f>
        <v/>
      </c>
      <c r="E8" s="36">
        <f>C8*D8</f>
        <v/>
      </c>
      <c r="F8" s="36">
        <f>Assumptions!$C$72</f>
        <v/>
      </c>
      <c r="G8" s="36">
        <f>Assumptions!$C$79</f>
        <v/>
      </c>
      <c r="H8" s="36">
        <f>E8*G8</f>
        <v/>
      </c>
    </row>
    <row r="9">
      <c r="B9" s="14" t="inlineStr">
        <is>
          <t>SAM  (focus-6, serviceable today)</t>
        </is>
      </c>
      <c r="E9" s="37">
        <f>SUM(E6:E8)</f>
        <v/>
      </c>
      <c r="H9" s="37">
        <f>SUM(H6:H8)</f>
        <v/>
      </c>
    </row>
    <row r="11" ht="18" customHeight="1">
      <c r="B11" s="4" t="inlineStr">
        <is>
          <t>B.  TAM  (all geos where product works, at full ACV)</t>
        </is>
      </c>
      <c r="C11" s="5" t="n"/>
      <c r="D11" s="5" t="n"/>
      <c r="E11" s="5" t="n"/>
      <c r="F11" s="5" t="n"/>
      <c r="G11" s="5" t="n"/>
      <c r="H11" s="5" t="n"/>
    </row>
    <row r="12">
      <c r="B12" s="3" t="inlineStr">
        <is>
          <t>Global gross-up = focus-6 / (focus-6 share of global)</t>
        </is>
      </c>
    </row>
    <row r="13">
      <c r="B13" s="38" t="inlineStr">
        <is>
          <t>Segment</t>
        </is>
      </c>
      <c r="C13" s="38" t="inlineStr">
        <is>
          <t>Global entities</t>
        </is>
      </c>
      <c r="D13" s="38" t="inlineStr">
        <is>
          <t>% fit</t>
        </is>
      </c>
      <c r="E13" s="38" t="inlineStr">
        <is>
          <t>Serviceable accts</t>
        </is>
      </c>
      <c r="F13" s="38" t="inlineStr">
        <is>
          <t>ACV/acct ($)</t>
        </is>
      </c>
      <c r="G13" s="38" t="inlineStr">
        <is>
          <t>TAM value ($/yr)</t>
        </is>
      </c>
    </row>
    <row r="14">
      <c r="B14" s="12" t="inlineStr">
        <is>
          <t>Tech recruiting agencies</t>
        </is>
      </c>
      <c r="C14" s="36">
        <f>Assumptions!$C$39/Assumptions!$C$98</f>
        <v/>
      </c>
      <c r="D14" s="39">
        <f>Assumptions!$C$43</f>
        <v/>
      </c>
      <c r="E14" s="36">
        <f>C14*D14</f>
        <v/>
      </c>
      <c r="F14" s="36">
        <f>Assumptions!$C$77</f>
        <v/>
      </c>
      <c r="G14" s="36">
        <f>E14*F14</f>
        <v/>
      </c>
    </row>
    <row r="15">
      <c r="B15" s="12" t="inlineStr">
        <is>
          <t>Engineering-heavy firms</t>
        </is>
      </c>
      <c r="C15" s="36">
        <f>Assumptions!$C$40/Assumptions!$C$98</f>
        <v/>
      </c>
      <c r="D15" s="39">
        <f>Assumptions!$C$44</f>
        <v/>
      </c>
      <c r="E15" s="36">
        <f>C15*D15</f>
        <v/>
      </c>
      <c r="F15" s="36">
        <f>Assumptions!$C$78</f>
        <v/>
      </c>
      <c r="G15" s="36">
        <f>E15*F15</f>
        <v/>
      </c>
    </row>
    <row r="16">
      <c r="B16" s="12" t="inlineStr">
        <is>
          <t>Mid-size structured-hiring firms</t>
        </is>
      </c>
      <c r="C16" s="36">
        <f>Assumptions!$C$41/Assumptions!$C$98</f>
        <v/>
      </c>
      <c r="D16" s="39">
        <f>Assumptions!$C$45</f>
        <v/>
      </c>
      <c r="E16" s="36">
        <f>C16*D16</f>
        <v/>
      </c>
      <c r="F16" s="36">
        <f>Assumptions!$C$79</f>
        <v/>
      </c>
      <c r="G16" s="36">
        <f>E16*F16</f>
        <v/>
      </c>
    </row>
    <row r="17">
      <c r="B17" s="14" t="inlineStr">
        <is>
          <t>TAM  (global prize, full ACV)</t>
        </is>
      </c>
      <c r="G17" s="37">
        <f>SUM(G14:G16)</f>
        <v/>
      </c>
    </row>
    <row r="19" ht="18" customHeight="1">
      <c r="B19" s="4" t="inlineStr">
        <is>
          <t>C.  SOM  (3-year reachable)  -  two routes side by side</t>
        </is>
      </c>
      <c r="C19" s="5" t="n"/>
      <c r="D19" s="5" t="n"/>
      <c r="E19" s="5" t="n"/>
      <c r="F19" s="5" t="n"/>
      <c r="G19" s="5" t="n"/>
      <c r="H19" s="5" t="n"/>
    </row>
    <row r="20">
      <c r="B20" s="20" t="inlineStr">
        <is>
          <t>CHANNEL ROUTE  (partner portfolio - see Assumptions sec.7)</t>
        </is>
      </c>
      <c r="C20" s="21" t="n"/>
      <c r="D20" s="21" t="n"/>
      <c r="E20" s="21" t="n"/>
    </row>
    <row r="21">
      <c r="B21" s="12" t="inlineStr">
        <is>
          <t>Channel base accounts (portfolio, y3)</t>
        </is>
      </c>
      <c r="E21" s="36">
        <f>Assumptions!$G$89</f>
        <v/>
      </c>
    </row>
    <row r="22">
      <c r="B22" s="12" t="inlineStr">
        <is>
          <t>Attach scalar</t>
        </is>
      </c>
      <c r="E22" s="40">
        <f>Assumptions!$C$90</f>
        <v/>
      </c>
    </row>
    <row r="23">
      <c r="B23" s="12" t="inlineStr">
        <is>
          <t>Active channel accounts</t>
        </is>
      </c>
      <c r="E23" s="36">
        <f>E21*E22</f>
        <v/>
      </c>
    </row>
    <row r="24">
      <c r="B24" s="14" t="inlineStr">
        <is>
          <t>Channel revenue ($/yr, retention-adj)</t>
        </is>
      </c>
      <c r="E24" s="41">
        <f>E23*Assumptions!$C$80*Assumptions!$C$97</f>
        <v/>
      </c>
    </row>
    <row r="26">
      <c r="B26" s="20" t="inlineStr">
        <is>
          <t>DIRECT ROUTE  (self-serve + sales-led)</t>
        </is>
      </c>
      <c r="C26" s="21" t="n"/>
      <c r="D26" s="21" t="n"/>
      <c r="E26" s="38" t="inlineStr">
        <is>
          <t>Year 3</t>
        </is>
      </c>
    </row>
    <row r="27">
      <c r="B27" s="12" t="inlineStr">
        <is>
          <t>Serviceable SAM accounts</t>
        </is>
      </c>
      <c r="E27" s="36">
        <f>Build!$E$9</f>
        <v/>
      </c>
    </row>
    <row r="28">
      <c r="B28" s="12" t="inlineStr">
        <is>
          <t>3-yr penetration</t>
        </is>
      </c>
      <c r="E28" s="39">
        <f>Assumptions!$C$92</f>
        <v/>
      </c>
    </row>
    <row r="29">
      <c r="B29" s="12" t="inlineStr">
        <is>
          <t>Active direct accounts</t>
        </is>
      </c>
      <c r="E29" s="36">
        <f>E27*E28</f>
        <v/>
      </c>
    </row>
    <row r="30">
      <c r="B30" s="14" t="inlineStr">
        <is>
          <t>Direct revenue ($/yr, retention-adj)</t>
        </is>
      </c>
      <c r="E30" s="41">
        <f>Build!$H$9*E28*Assumptions!$C$97</f>
        <v/>
      </c>
    </row>
    <row r="31">
      <c r="B31" s="3" t="inlineStr">
        <is>
          <t>Funnel cross-check: implied paid/yr</t>
        </is>
      </c>
      <c r="E31" s="42">
        <f>Assumptions!$C$93*12*Assumptions!$C$94*Assumptions!$C$95</f>
        <v/>
      </c>
    </row>
    <row r="33">
      <c r="B33" s="43" t="inlineStr">
        <is>
          <t>SOM  (Year 3 = Channel + Direct)</t>
        </is>
      </c>
      <c r="E33" s="44">
        <f>E24+E30</f>
        <v/>
      </c>
    </row>
    <row r="35" ht="18" customHeight="1">
      <c r="B35" s="4" t="inlineStr">
        <is>
          <t>D.  Revenue potential by stream  (assessments + talent-DB)</t>
        </is>
      </c>
      <c r="C35" s="5" t="n"/>
      <c r="D35" s="5" t="n"/>
      <c r="E35" s="5" t="n"/>
      <c r="F35" s="5" t="n"/>
      <c r="G35" s="5" t="n"/>
      <c r="H35" s="5" t="n"/>
    </row>
    <row r="36">
      <c r="B36" s="38" t="inlineStr">
        <is>
          <t>Tier</t>
        </is>
      </c>
      <c r="C36" s="38" t="inlineStr">
        <is>
          <t>Assessment rev ($/yr)</t>
        </is>
      </c>
      <c r="D36" s="38" t="inlineStr">
        <is>
          <t>Tests run / yr</t>
        </is>
      </c>
      <c r="E36" s="38" t="inlineStr">
        <is>
          <t>Talent-DB rev ($/yr)</t>
        </is>
      </c>
      <c r="F36" s="38" t="inlineStr">
        <is>
          <t>TOTAL revenue potential ($/yr)</t>
        </is>
      </c>
    </row>
    <row r="37">
      <c r="B37" s="12" t="inlineStr">
        <is>
          <t>Full opportunity (TAM)</t>
        </is>
      </c>
      <c r="C37" s="36">
        <f>Build!$G$17</f>
        <v/>
      </c>
      <c r="D37" s="36">
        <f>C37/Assumptions!$C$61</f>
        <v/>
      </c>
      <c r="E37" s="36">
        <f>D37*Assumptions!$C$104*Assumptions!$C$105</f>
        <v/>
      </c>
      <c r="F37" s="41">
        <f>C37+E37</f>
        <v/>
      </c>
    </row>
    <row r="38">
      <c r="B38" s="12" t="inlineStr">
        <is>
          <t>Serviceable today (SAM)</t>
        </is>
      </c>
      <c r="C38" s="36">
        <f>Build!$H$9</f>
        <v/>
      </c>
      <c r="D38" s="36">
        <f>C38/Assumptions!$C$61</f>
        <v/>
      </c>
      <c r="E38" s="36">
        <f>D38*Assumptions!$C$104*Assumptions!$C$105</f>
        <v/>
      </c>
      <c r="F38" s="41">
        <f>C38+E38</f>
        <v/>
      </c>
    </row>
    <row r="39">
      <c r="B39" s="12" t="inlineStr">
        <is>
          <t>3-yr reachable (SOM)</t>
        </is>
      </c>
      <c r="C39" s="36">
        <f>Build!$E$33</f>
        <v/>
      </c>
      <c r="D39" s="36">
        <f>C39/Assumptions!$C$61</f>
        <v/>
      </c>
      <c r="E39" s="36">
        <f>D39*Assumptions!$C$104*Assumptions!$C$105</f>
        <v/>
      </c>
      <c r="F39" s="41">
        <f>C39+E39</f>
        <v/>
      </c>
    </row>
    <row r="41" ht="18" customHeight="1">
      <c r="B41" s="4" t="inlineStr">
        <is>
          <t>E.  Value delivered  (tests run -&gt; hires -&gt; bad-hire cost addressed)</t>
        </is>
      </c>
      <c r="C41" s="5" t="n"/>
      <c r="D41" s="5" t="n"/>
      <c r="E41" s="5" t="n"/>
      <c r="F41" s="5" t="n"/>
      <c r="G41" s="5" t="n"/>
      <c r="H41" s="5" t="n"/>
    </row>
    <row r="42">
      <c r="B42" s="38" t="inlineStr">
        <is>
          <t>Ring</t>
        </is>
      </c>
      <c r="C42" s="38" t="inlineStr">
        <is>
          <t>Accounts</t>
        </is>
      </c>
      <c r="D42" s="38" t="inlineStr">
        <is>
          <t>Tests run / yr</t>
        </is>
      </c>
      <c r="E42" s="38" t="inlineStr">
        <is>
          <t>Hires supported / yr</t>
        </is>
      </c>
      <c r="F42" s="38" t="inlineStr">
        <is>
          <t>Bad-hire $ exposure influenced</t>
        </is>
      </c>
      <c r="G42" s="38" t="inlineStr">
        <is>
          <t>Mitigable value to buyers ($)</t>
        </is>
      </c>
    </row>
    <row r="43">
      <c r="B43" s="12" t="inlineStr">
        <is>
          <t>SOM (yr 3)</t>
        </is>
      </c>
      <c r="C43" s="36">
        <f>(Build!$E$23+Build!$E$29)</f>
        <v/>
      </c>
      <c r="D43" s="36">
        <f>C43*Assumptions!$C$75</f>
        <v/>
      </c>
      <c r="E43" s="36">
        <f>D43/Assumptions!$C$101</f>
        <v/>
      </c>
      <c r="F43" s="36">
        <f>E43*Assumptions!$C$100</f>
        <v/>
      </c>
      <c r="G43" s="36">
        <f>F43*Assumptions!$C$102</f>
        <v/>
      </c>
    </row>
    <row r="45">
      <c r="B45" s="23" t="inlineStr">
        <is>
          <t>Notes: (1) MECE - agencies and the firms they serve are distinct buyers; agency tests cover client roles, in-house tests cover own roles, no double count. (2) Channel (Manatal, global) and Direct (focus-6) may overlap modestly; treated as additive (slightly optimistic) and flagged. (3) Value-delivered ring is buyer-side: $ exposure influenced and mitigable value are NOT market size - they show the value pool Invirtus serves, against which the SOM revenue captured (~$2.2M) is a tiny slice. (4) Hires = gross placements assessment touches; agencies place for many clients, so per-account hires run high.</t>
        </is>
      </c>
    </row>
    <row r="46"/>
  </sheetData>
  <mergeCells count="2">
    <mergeCell ref="B45:H46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8" t="inlineStr">
        <is>
          <t>INVIRTUS  -  Sensitivity</t>
        </is>
      </c>
    </row>
    <row r="3">
      <c r="B3" s="19" t="inlineStr">
        <is>
          <t>SOM (Yr3) response to the three swing inputs. Tables recompute the SOM chain live from the axis values; non-swung drivers pull from Assumptions.</t>
        </is>
      </c>
    </row>
    <row r="5">
      <c r="B5" s="11" t="inlineStr">
        <is>
          <t>Table 1:  SOM (Yr3)  -  Channel tests/account  vs  PAYG price/test</t>
        </is>
      </c>
    </row>
    <row r="6">
      <c r="B6" s="3" t="inlineStr">
        <is>
          <t>tests/acct  \  $/test</t>
        </is>
      </c>
      <c r="C6" s="45" t="n">
        <v>10</v>
      </c>
      <c r="D6" s="45" t="n">
        <v>12.5</v>
      </c>
      <c r="E6" s="45" t="n">
        <v>15</v>
      </c>
      <c r="F6" s="45" t="n">
        <v>17.5</v>
      </c>
      <c r="G6" s="45" t="n">
        <v>20</v>
      </c>
    </row>
    <row r="7">
      <c r="B7" s="46" t="n">
        <v>100</v>
      </c>
      <c r="C7" s="47">
        <f>Assumptions!$G$89*Assumptions!$C$90*($B7*((Assumptions!$C$56*C$6+Assumptions!$C$57*C$6*(1-Assumptions!$C$48)+Assumptions!$C$58*C$6*(1-Assumptions!$C$49)+Assumptions!$C$59*C$6*(1-Assumptions!$C$50))/(Assumptions!$C$56+Assumptions!$C$57+Assumptions!$C$58+Assumptions!$C$59)))*Assumptions!$C$97+(((Assumptions!$C$39*Assumptions!$C$43*((Assumptions!$C$64*Assumptions!$C$65*Assumptions!$C$63)*((Assumptions!$C$56*C$6+Assumptions!$C$57*C$6*(1-Assumptions!$C$48)+Assumptions!$C$58*C$6*(1-Assumptions!$C$49)+Assumptions!$C$59*C$6*(1-Assumptions!$C$50))/(Assumptions!$C$56+Assumptions!$C$57+Assumptions!$C$58+Assumptions!$C$59))))+(Assumptions!$C$40*Assumptions!$C$44*((Assumptions!$C$67*Assumptions!$C$68*Assumptions!$C$63)*((Assumptions!$C$56*C$6+Assumptions!$C$57*C$6*(1-Assumptions!$C$48)+Assumptions!$C$58*C$6*(1-Assumptions!$C$49)+Assumptions!$C$59*C$6*(1-Assumptions!$C$50))/(Assumptions!$C$56+Assumptions!$C$57+Assumptions!$C$58+Assumptions!$C$59))))+(Assumptions!$C$41*Assumptions!$C$45*((Assumptions!$C$70*Assumptions!$C$71*Assumptions!$C$63)*((Assumptions!$C$56*C$6+Assumptions!$C$57*C$6*(1-Assumptions!$C$48)+Assumptions!$C$58*C$6*(1-Assumptions!$C$49)+Assumptions!$C$59*C$6*(1-Assumptions!$C$50))/(Assumptions!$C$56+Assumptions!$C$57+Assumptions!$C$58+Assumptions!$C$59)))))*Assumptions!$C$92*Assumptions!$C$97)</f>
        <v/>
      </c>
      <c r="D7" s="47">
        <f>Assumptions!$G$89*Assumptions!$C$90*($B7*((Assumptions!$C$56*D$6+Assumptions!$C$57*D$6*(1-Assumptions!$C$48)+Assumptions!$C$58*D$6*(1-Assumptions!$C$49)+Assumptions!$C$59*D$6*(1-Assumptions!$C$50))/(Assumptions!$C$56+Assumptions!$C$57+Assumptions!$C$58+Assumptions!$C$59)))*Assumptions!$C$97+(((Assumptions!$C$39*Assumptions!$C$43*((Assumptions!$C$64*Assumptions!$C$65*Assumptions!$C$63)*((Assumptions!$C$56*D$6+Assumptions!$C$57*D$6*(1-Assumptions!$C$48)+Assumptions!$C$58*D$6*(1-Assumptions!$C$49)+Assumptions!$C$59*D$6*(1-Assumptions!$C$50))/(Assumptions!$C$56+Assumptions!$C$57+Assumptions!$C$58+Assumptions!$C$59))))+(Assumptions!$C$40*Assumptions!$C$44*((Assumptions!$C$67*Assumptions!$C$68*Assumptions!$C$63)*((Assumptions!$C$56*D$6+Assumptions!$C$57*D$6*(1-Assumptions!$C$48)+Assumptions!$C$58*D$6*(1-Assumptions!$C$49)+Assumptions!$C$59*D$6*(1-Assumptions!$C$50))/(Assumptions!$C$56+Assumptions!$C$57+Assumptions!$C$58+Assumptions!$C$59))))+(Assumptions!$C$41*Assumptions!$C$45*((Assumptions!$C$70*Assumptions!$C$71*Assumptions!$C$63)*((Assumptions!$C$56*D$6+Assumptions!$C$57*D$6*(1-Assumptions!$C$48)+Assumptions!$C$58*D$6*(1-Assumptions!$C$49)+Assumptions!$C$59*D$6*(1-Assumptions!$C$50))/(Assumptions!$C$56+Assumptions!$C$57+Assumptions!$C$58+Assumptions!$C$59)))))*Assumptions!$C$92*Assumptions!$C$97)</f>
        <v/>
      </c>
      <c r="E7" s="47">
        <f>Assumptions!$G$89*Assumptions!$C$90*($B7*((Assumptions!$C$56*E$6+Assumptions!$C$57*E$6*(1-Assumptions!$C$48)+Assumptions!$C$58*E$6*(1-Assumptions!$C$49)+Assumptions!$C$59*E$6*(1-Assumptions!$C$50))/(Assumptions!$C$56+Assumptions!$C$57+Assumptions!$C$58+Assumptions!$C$59)))*Assumptions!$C$97+(((Assumptions!$C$39*Assumptions!$C$43*((Assumptions!$C$64*Assumptions!$C$65*Assumptions!$C$63)*((Assumptions!$C$56*E$6+Assumptions!$C$57*E$6*(1-Assumptions!$C$48)+Assumptions!$C$58*E$6*(1-Assumptions!$C$49)+Assumptions!$C$59*E$6*(1-Assumptions!$C$50))/(Assumptions!$C$56+Assumptions!$C$57+Assumptions!$C$58+Assumptions!$C$59))))+(Assumptions!$C$40*Assumptions!$C$44*((Assumptions!$C$67*Assumptions!$C$68*Assumptions!$C$63)*((Assumptions!$C$56*E$6+Assumptions!$C$57*E$6*(1-Assumptions!$C$48)+Assumptions!$C$58*E$6*(1-Assumptions!$C$49)+Assumptions!$C$59*E$6*(1-Assumptions!$C$50))/(Assumptions!$C$56+Assumptions!$C$57+Assumptions!$C$58+Assumptions!$C$59))))+(Assumptions!$C$41*Assumptions!$C$45*((Assumptions!$C$70*Assumptions!$C$71*Assumptions!$C$63)*((Assumptions!$C$56*E$6+Assumptions!$C$57*E$6*(1-Assumptions!$C$48)+Assumptions!$C$58*E$6*(1-Assumptions!$C$49)+Assumptions!$C$59*E$6*(1-Assumptions!$C$50))/(Assumptions!$C$56+Assumptions!$C$57+Assumptions!$C$58+Assumptions!$C$59)))))*Assumptions!$C$92*Assumptions!$C$97)</f>
        <v/>
      </c>
      <c r="F7" s="47">
        <f>Assumptions!$G$89*Assumptions!$C$90*($B7*((Assumptions!$C$56*F$6+Assumptions!$C$57*F$6*(1-Assumptions!$C$48)+Assumptions!$C$58*F$6*(1-Assumptions!$C$49)+Assumptions!$C$59*F$6*(1-Assumptions!$C$50))/(Assumptions!$C$56+Assumptions!$C$57+Assumptions!$C$58+Assumptions!$C$59)))*Assumptions!$C$97+(((Assumptions!$C$39*Assumptions!$C$43*((Assumptions!$C$64*Assumptions!$C$65*Assumptions!$C$63)*((Assumptions!$C$56*F$6+Assumptions!$C$57*F$6*(1-Assumptions!$C$48)+Assumptions!$C$58*F$6*(1-Assumptions!$C$49)+Assumptions!$C$59*F$6*(1-Assumptions!$C$50))/(Assumptions!$C$56+Assumptions!$C$57+Assumptions!$C$58+Assumptions!$C$59))))+(Assumptions!$C$40*Assumptions!$C$44*((Assumptions!$C$67*Assumptions!$C$68*Assumptions!$C$63)*((Assumptions!$C$56*F$6+Assumptions!$C$57*F$6*(1-Assumptions!$C$48)+Assumptions!$C$58*F$6*(1-Assumptions!$C$49)+Assumptions!$C$59*F$6*(1-Assumptions!$C$50))/(Assumptions!$C$56+Assumptions!$C$57+Assumptions!$C$58+Assumptions!$C$59))))+(Assumptions!$C$41*Assumptions!$C$45*((Assumptions!$C$70*Assumptions!$C$71*Assumptions!$C$63)*((Assumptions!$C$56*F$6+Assumptions!$C$57*F$6*(1-Assumptions!$C$48)+Assumptions!$C$58*F$6*(1-Assumptions!$C$49)+Assumptions!$C$59*F$6*(1-Assumptions!$C$50))/(Assumptions!$C$56+Assumptions!$C$57+Assumptions!$C$58+Assumptions!$C$59)))))*Assumptions!$C$92*Assumptions!$C$97)</f>
        <v/>
      </c>
      <c r="G7" s="47">
        <f>Assumptions!$G$89*Assumptions!$C$90*($B7*((Assumptions!$C$56*G$6+Assumptions!$C$57*G$6*(1-Assumptions!$C$48)+Assumptions!$C$58*G$6*(1-Assumptions!$C$49)+Assumptions!$C$59*G$6*(1-Assumptions!$C$50))/(Assumptions!$C$56+Assumptions!$C$57+Assumptions!$C$58+Assumptions!$C$59)))*Assumptions!$C$97+(((Assumptions!$C$39*Assumptions!$C$43*((Assumptions!$C$64*Assumptions!$C$65*Assumptions!$C$63)*((Assumptions!$C$56*G$6+Assumptions!$C$57*G$6*(1-Assumptions!$C$48)+Assumptions!$C$58*G$6*(1-Assumptions!$C$49)+Assumptions!$C$59*G$6*(1-Assumptions!$C$50))/(Assumptions!$C$56+Assumptions!$C$57+Assumptions!$C$58+Assumptions!$C$59))))+(Assumptions!$C$40*Assumptions!$C$44*((Assumptions!$C$67*Assumptions!$C$68*Assumptions!$C$63)*((Assumptions!$C$56*G$6+Assumptions!$C$57*G$6*(1-Assumptions!$C$48)+Assumptions!$C$58*G$6*(1-Assumptions!$C$49)+Assumptions!$C$59*G$6*(1-Assumptions!$C$50))/(Assumptions!$C$56+Assumptions!$C$57+Assumptions!$C$58+Assumptions!$C$59))))+(Assumptions!$C$41*Assumptions!$C$45*((Assumptions!$C$70*Assumptions!$C$71*Assumptions!$C$63)*((Assumptions!$C$56*G$6+Assumptions!$C$57*G$6*(1-Assumptions!$C$48)+Assumptions!$C$58*G$6*(1-Assumptions!$C$49)+Assumptions!$C$59*G$6*(1-Assumptions!$C$50))/(Assumptions!$C$56+Assumptions!$C$57+Assumptions!$C$58+Assumptions!$C$59)))))*Assumptions!$C$92*Assumptions!$C$97)</f>
        <v/>
      </c>
    </row>
    <row r="8">
      <c r="B8" s="46" t="n">
        <v>150</v>
      </c>
      <c r="C8" s="47">
        <f>Assumptions!$G$89*Assumptions!$C$90*($B8*((Assumptions!$C$56*C$6+Assumptions!$C$57*C$6*(1-Assumptions!$C$48)+Assumptions!$C$58*C$6*(1-Assumptions!$C$49)+Assumptions!$C$59*C$6*(1-Assumptions!$C$50))/(Assumptions!$C$56+Assumptions!$C$57+Assumptions!$C$58+Assumptions!$C$59)))*Assumptions!$C$97+(((Assumptions!$C$39*Assumptions!$C$43*((Assumptions!$C$64*Assumptions!$C$65*Assumptions!$C$63)*((Assumptions!$C$56*C$6+Assumptions!$C$57*C$6*(1-Assumptions!$C$48)+Assumptions!$C$58*C$6*(1-Assumptions!$C$49)+Assumptions!$C$59*C$6*(1-Assumptions!$C$50))/(Assumptions!$C$56+Assumptions!$C$57+Assumptions!$C$58+Assumptions!$C$59))))+(Assumptions!$C$40*Assumptions!$C$44*((Assumptions!$C$67*Assumptions!$C$68*Assumptions!$C$63)*((Assumptions!$C$56*C$6+Assumptions!$C$57*C$6*(1-Assumptions!$C$48)+Assumptions!$C$58*C$6*(1-Assumptions!$C$49)+Assumptions!$C$59*C$6*(1-Assumptions!$C$50))/(Assumptions!$C$56+Assumptions!$C$57+Assumptions!$C$58+Assumptions!$C$59))))+(Assumptions!$C$41*Assumptions!$C$45*((Assumptions!$C$70*Assumptions!$C$71*Assumptions!$C$63)*((Assumptions!$C$56*C$6+Assumptions!$C$57*C$6*(1-Assumptions!$C$48)+Assumptions!$C$58*C$6*(1-Assumptions!$C$49)+Assumptions!$C$59*C$6*(1-Assumptions!$C$50))/(Assumptions!$C$56+Assumptions!$C$57+Assumptions!$C$58+Assumptions!$C$59)))))*Assumptions!$C$92*Assumptions!$C$97)</f>
        <v/>
      </c>
      <c r="D8" s="47">
        <f>Assumptions!$G$89*Assumptions!$C$90*($B8*((Assumptions!$C$56*D$6+Assumptions!$C$57*D$6*(1-Assumptions!$C$48)+Assumptions!$C$58*D$6*(1-Assumptions!$C$49)+Assumptions!$C$59*D$6*(1-Assumptions!$C$50))/(Assumptions!$C$56+Assumptions!$C$57+Assumptions!$C$58+Assumptions!$C$59)))*Assumptions!$C$97+(((Assumptions!$C$39*Assumptions!$C$43*((Assumptions!$C$64*Assumptions!$C$65*Assumptions!$C$63)*((Assumptions!$C$56*D$6+Assumptions!$C$57*D$6*(1-Assumptions!$C$48)+Assumptions!$C$58*D$6*(1-Assumptions!$C$49)+Assumptions!$C$59*D$6*(1-Assumptions!$C$50))/(Assumptions!$C$56+Assumptions!$C$57+Assumptions!$C$58+Assumptions!$C$59))))+(Assumptions!$C$40*Assumptions!$C$44*((Assumptions!$C$67*Assumptions!$C$68*Assumptions!$C$63)*((Assumptions!$C$56*D$6+Assumptions!$C$57*D$6*(1-Assumptions!$C$48)+Assumptions!$C$58*D$6*(1-Assumptions!$C$49)+Assumptions!$C$59*D$6*(1-Assumptions!$C$50))/(Assumptions!$C$56+Assumptions!$C$57+Assumptions!$C$58+Assumptions!$C$59))))+(Assumptions!$C$41*Assumptions!$C$45*((Assumptions!$C$70*Assumptions!$C$71*Assumptions!$C$63)*((Assumptions!$C$56*D$6+Assumptions!$C$57*D$6*(1-Assumptions!$C$48)+Assumptions!$C$58*D$6*(1-Assumptions!$C$49)+Assumptions!$C$59*D$6*(1-Assumptions!$C$50))/(Assumptions!$C$56+Assumptions!$C$57+Assumptions!$C$58+Assumptions!$C$59)))))*Assumptions!$C$92*Assumptions!$C$97)</f>
        <v/>
      </c>
      <c r="E8" s="47">
        <f>Assumptions!$G$89*Assumptions!$C$90*($B8*((Assumptions!$C$56*E$6+Assumptions!$C$57*E$6*(1-Assumptions!$C$48)+Assumptions!$C$58*E$6*(1-Assumptions!$C$49)+Assumptions!$C$59*E$6*(1-Assumptions!$C$50))/(Assumptions!$C$56+Assumptions!$C$57+Assumptions!$C$58+Assumptions!$C$59)))*Assumptions!$C$97+(((Assumptions!$C$39*Assumptions!$C$43*((Assumptions!$C$64*Assumptions!$C$65*Assumptions!$C$63)*((Assumptions!$C$56*E$6+Assumptions!$C$57*E$6*(1-Assumptions!$C$48)+Assumptions!$C$58*E$6*(1-Assumptions!$C$49)+Assumptions!$C$59*E$6*(1-Assumptions!$C$50))/(Assumptions!$C$56+Assumptions!$C$57+Assumptions!$C$58+Assumptions!$C$59))))+(Assumptions!$C$40*Assumptions!$C$44*((Assumptions!$C$67*Assumptions!$C$68*Assumptions!$C$63)*((Assumptions!$C$56*E$6+Assumptions!$C$57*E$6*(1-Assumptions!$C$48)+Assumptions!$C$58*E$6*(1-Assumptions!$C$49)+Assumptions!$C$59*E$6*(1-Assumptions!$C$50))/(Assumptions!$C$56+Assumptions!$C$57+Assumptions!$C$58+Assumptions!$C$59))))+(Assumptions!$C$41*Assumptions!$C$45*((Assumptions!$C$70*Assumptions!$C$71*Assumptions!$C$63)*((Assumptions!$C$56*E$6+Assumptions!$C$57*E$6*(1-Assumptions!$C$48)+Assumptions!$C$58*E$6*(1-Assumptions!$C$49)+Assumptions!$C$59*E$6*(1-Assumptions!$C$50))/(Assumptions!$C$56+Assumptions!$C$57+Assumptions!$C$58+Assumptions!$C$59)))))*Assumptions!$C$92*Assumptions!$C$97)</f>
        <v/>
      </c>
      <c r="F8" s="47">
        <f>Assumptions!$G$89*Assumptions!$C$90*($B8*((Assumptions!$C$56*F$6+Assumptions!$C$57*F$6*(1-Assumptions!$C$48)+Assumptions!$C$58*F$6*(1-Assumptions!$C$49)+Assumptions!$C$59*F$6*(1-Assumptions!$C$50))/(Assumptions!$C$56+Assumptions!$C$57+Assumptions!$C$58+Assumptions!$C$59)))*Assumptions!$C$97+(((Assumptions!$C$39*Assumptions!$C$43*((Assumptions!$C$64*Assumptions!$C$65*Assumptions!$C$63)*((Assumptions!$C$56*F$6+Assumptions!$C$57*F$6*(1-Assumptions!$C$48)+Assumptions!$C$58*F$6*(1-Assumptions!$C$49)+Assumptions!$C$59*F$6*(1-Assumptions!$C$50))/(Assumptions!$C$56+Assumptions!$C$57+Assumptions!$C$58+Assumptions!$C$59))))+(Assumptions!$C$40*Assumptions!$C$44*((Assumptions!$C$67*Assumptions!$C$68*Assumptions!$C$63)*((Assumptions!$C$56*F$6+Assumptions!$C$57*F$6*(1-Assumptions!$C$48)+Assumptions!$C$58*F$6*(1-Assumptions!$C$49)+Assumptions!$C$59*F$6*(1-Assumptions!$C$50))/(Assumptions!$C$56+Assumptions!$C$57+Assumptions!$C$58+Assumptions!$C$59))))+(Assumptions!$C$41*Assumptions!$C$45*((Assumptions!$C$70*Assumptions!$C$71*Assumptions!$C$63)*((Assumptions!$C$56*F$6+Assumptions!$C$57*F$6*(1-Assumptions!$C$48)+Assumptions!$C$58*F$6*(1-Assumptions!$C$49)+Assumptions!$C$59*F$6*(1-Assumptions!$C$50))/(Assumptions!$C$56+Assumptions!$C$57+Assumptions!$C$58+Assumptions!$C$59)))))*Assumptions!$C$92*Assumptions!$C$97)</f>
        <v/>
      </c>
      <c r="G8" s="47">
        <f>Assumptions!$G$89*Assumptions!$C$90*($B8*((Assumptions!$C$56*G$6+Assumptions!$C$57*G$6*(1-Assumptions!$C$48)+Assumptions!$C$58*G$6*(1-Assumptions!$C$49)+Assumptions!$C$59*G$6*(1-Assumptions!$C$50))/(Assumptions!$C$56+Assumptions!$C$57+Assumptions!$C$58+Assumptions!$C$59)))*Assumptions!$C$97+(((Assumptions!$C$39*Assumptions!$C$43*((Assumptions!$C$64*Assumptions!$C$65*Assumptions!$C$63)*((Assumptions!$C$56*G$6+Assumptions!$C$57*G$6*(1-Assumptions!$C$48)+Assumptions!$C$58*G$6*(1-Assumptions!$C$49)+Assumptions!$C$59*G$6*(1-Assumptions!$C$50))/(Assumptions!$C$56+Assumptions!$C$57+Assumptions!$C$58+Assumptions!$C$59))))+(Assumptions!$C$40*Assumptions!$C$44*((Assumptions!$C$67*Assumptions!$C$68*Assumptions!$C$63)*((Assumptions!$C$56*G$6+Assumptions!$C$57*G$6*(1-Assumptions!$C$48)+Assumptions!$C$58*G$6*(1-Assumptions!$C$49)+Assumptions!$C$59*G$6*(1-Assumptions!$C$50))/(Assumptions!$C$56+Assumptions!$C$57+Assumptions!$C$58+Assumptions!$C$59))))+(Assumptions!$C$41*Assumptions!$C$45*((Assumptions!$C$70*Assumptions!$C$71*Assumptions!$C$63)*((Assumptions!$C$56*G$6+Assumptions!$C$57*G$6*(1-Assumptions!$C$48)+Assumptions!$C$58*G$6*(1-Assumptions!$C$49)+Assumptions!$C$59*G$6*(1-Assumptions!$C$50))/(Assumptions!$C$56+Assumptions!$C$57+Assumptions!$C$58+Assumptions!$C$59)))))*Assumptions!$C$92*Assumptions!$C$97)</f>
        <v/>
      </c>
    </row>
    <row r="9">
      <c r="B9" s="46" t="n">
        <v>200</v>
      </c>
      <c r="C9" s="47">
        <f>Assumptions!$G$89*Assumptions!$C$90*($B9*((Assumptions!$C$56*C$6+Assumptions!$C$57*C$6*(1-Assumptions!$C$48)+Assumptions!$C$58*C$6*(1-Assumptions!$C$49)+Assumptions!$C$59*C$6*(1-Assumptions!$C$50))/(Assumptions!$C$56+Assumptions!$C$57+Assumptions!$C$58+Assumptions!$C$59)))*Assumptions!$C$97+(((Assumptions!$C$39*Assumptions!$C$43*((Assumptions!$C$64*Assumptions!$C$65*Assumptions!$C$63)*((Assumptions!$C$56*C$6+Assumptions!$C$57*C$6*(1-Assumptions!$C$48)+Assumptions!$C$58*C$6*(1-Assumptions!$C$49)+Assumptions!$C$59*C$6*(1-Assumptions!$C$50))/(Assumptions!$C$56+Assumptions!$C$57+Assumptions!$C$58+Assumptions!$C$59))))+(Assumptions!$C$40*Assumptions!$C$44*((Assumptions!$C$67*Assumptions!$C$68*Assumptions!$C$63)*((Assumptions!$C$56*C$6+Assumptions!$C$57*C$6*(1-Assumptions!$C$48)+Assumptions!$C$58*C$6*(1-Assumptions!$C$49)+Assumptions!$C$59*C$6*(1-Assumptions!$C$50))/(Assumptions!$C$56+Assumptions!$C$57+Assumptions!$C$58+Assumptions!$C$59))))+(Assumptions!$C$41*Assumptions!$C$45*((Assumptions!$C$70*Assumptions!$C$71*Assumptions!$C$63)*((Assumptions!$C$56*C$6+Assumptions!$C$57*C$6*(1-Assumptions!$C$48)+Assumptions!$C$58*C$6*(1-Assumptions!$C$49)+Assumptions!$C$59*C$6*(1-Assumptions!$C$50))/(Assumptions!$C$56+Assumptions!$C$57+Assumptions!$C$58+Assumptions!$C$59)))))*Assumptions!$C$92*Assumptions!$C$97)</f>
        <v/>
      </c>
      <c r="D9" s="47">
        <f>Assumptions!$G$89*Assumptions!$C$90*($B9*((Assumptions!$C$56*D$6+Assumptions!$C$57*D$6*(1-Assumptions!$C$48)+Assumptions!$C$58*D$6*(1-Assumptions!$C$49)+Assumptions!$C$59*D$6*(1-Assumptions!$C$50))/(Assumptions!$C$56+Assumptions!$C$57+Assumptions!$C$58+Assumptions!$C$59)))*Assumptions!$C$97+(((Assumptions!$C$39*Assumptions!$C$43*((Assumptions!$C$64*Assumptions!$C$65*Assumptions!$C$63)*((Assumptions!$C$56*D$6+Assumptions!$C$57*D$6*(1-Assumptions!$C$48)+Assumptions!$C$58*D$6*(1-Assumptions!$C$49)+Assumptions!$C$59*D$6*(1-Assumptions!$C$50))/(Assumptions!$C$56+Assumptions!$C$57+Assumptions!$C$58+Assumptions!$C$59))))+(Assumptions!$C$40*Assumptions!$C$44*((Assumptions!$C$67*Assumptions!$C$68*Assumptions!$C$63)*((Assumptions!$C$56*D$6+Assumptions!$C$57*D$6*(1-Assumptions!$C$48)+Assumptions!$C$58*D$6*(1-Assumptions!$C$49)+Assumptions!$C$59*D$6*(1-Assumptions!$C$50))/(Assumptions!$C$56+Assumptions!$C$57+Assumptions!$C$58+Assumptions!$C$59))))+(Assumptions!$C$41*Assumptions!$C$45*((Assumptions!$C$70*Assumptions!$C$71*Assumptions!$C$63)*((Assumptions!$C$56*D$6+Assumptions!$C$57*D$6*(1-Assumptions!$C$48)+Assumptions!$C$58*D$6*(1-Assumptions!$C$49)+Assumptions!$C$59*D$6*(1-Assumptions!$C$50))/(Assumptions!$C$56+Assumptions!$C$57+Assumptions!$C$58+Assumptions!$C$59)))))*Assumptions!$C$92*Assumptions!$C$97)</f>
        <v/>
      </c>
      <c r="E9" s="47">
        <f>Assumptions!$G$89*Assumptions!$C$90*($B9*((Assumptions!$C$56*E$6+Assumptions!$C$57*E$6*(1-Assumptions!$C$48)+Assumptions!$C$58*E$6*(1-Assumptions!$C$49)+Assumptions!$C$59*E$6*(1-Assumptions!$C$50))/(Assumptions!$C$56+Assumptions!$C$57+Assumptions!$C$58+Assumptions!$C$59)))*Assumptions!$C$97+(((Assumptions!$C$39*Assumptions!$C$43*((Assumptions!$C$64*Assumptions!$C$65*Assumptions!$C$63)*((Assumptions!$C$56*E$6+Assumptions!$C$57*E$6*(1-Assumptions!$C$48)+Assumptions!$C$58*E$6*(1-Assumptions!$C$49)+Assumptions!$C$59*E$6*(1-Assumptions!$C$50))/(Assumptions!$C$56+Assumptions!$C$57+Assumptions!$C$58+Assumptions!$C$59))))+(Assumptions!$C$40*Assumptions!$C$44*((Assumptions!$C$67*Assumptions!$C$68*Assumptions!$C$63)*((Assumptions!$C$56*E$6+Assumptions!$C$57*E$6*(1-Assumptions!$C$48)+Assumptions!$C$58*E$6*(1-Assumptions!$C$49)+Assumptions!$C$59*E$6*(1-Assumptions!$C$50))/(Assumptions!$C$56+Assumptions!$C$57+Assumptions!$C$58+Assumptions!$C$59))))+(Assumptions!$C$41*Assumptions!$C$45*((Assumptions!$C$70*Assumptions!$C$71*Assumptions!$C$63)*((Assumptions!$C$56*E$6+Assumptions!$C$57*E$6*(1-Assumptions!$C$48)+Assumptions!$C$58*E$6*(1-Assumptions!$C$49)+Assumptions!$C$59*E$6*(1-Assumptions!$C$50))/(Assumptions!$C$56+Assumptions!$C$57+Assumptions!$C$58+Assumptions!$C$59)))))*Assumptions!$C$92*Assumptions!$C$97)</f>
        <v/>
      </c>
      <c r="F9" s="47">
        <f>Assumptions!$G$89*Assumptions!$C$90*($B9*((Assumptions!$C$56*F$6+Assumptions!$C$57*F$6*(1-Assumptions!$C$48)+Assumptions!$C$58*F$6*(1-Assumptions!$C$49)+Assumptions!$C$59*F$6*(1-Assumptions!$C$50))/(Assumptions!$C$56+Assumptions!$C$57+Assumptions!$C$58+Assumptions!$C$59)))*Assumptions!$C$97+(((Assumptions!$C$39*Assumptions!$C$43*((Assumptions!$C$64*Assumptions!$C$65*Assumptions!$C$63)*((Assumptions!$C$56*F$6+Assumptions!$C$57*F$6*(1-Assumptions!$C$48)+Assumptions!$C$58*F$6*(1-Assumptions!$C$49)+Assumptions!$C$59*F$6*(1-Assumptions!$C$50))/(Assumptions!$C$56+Assumptions!$C$57+Assumptions!$C$58+Assumptions!$C$59))))+(Assumptions!$C$40*Assumptions!$C$44*((Assumptions!$C$67*Assumptions!$C$68*Assumptions!$C$63)*((Assumptions!$C$56*F$6+Assumptions!$C$57*F$6*(1-Assumptions!$C$48)+Assumptions!$C$58*F$6*(1-Assumptions!$C$49)+Assumptions!$C$59*F$6*(1-Assumptions!$C$50))/(Assumptions!$C$56+Assumptions!$C$57+Assumptions!$C$58+Assumptions!$C$59))))+(Assumptions!$C$41*Assumptions!$C$45*((Assumptions!$C$70*Assumptions!$C$71*Assumptions!$C$63)*((Assumptions!$C$56*F$6+Assumptions!$C$57*F$6*(1-Assumptions!$C$48)+Assumptions!$C$58*F$6*(1-Assumptions!$C$49)+Assumptions!$C$59*F$6*(1-Assumptions!$C$50))/(Assumptions!$C$56+Assumptions!$C$57+Assumptions!$C$58+Assumptions!$C$59)))))*Assumptions!$C$92*Assumptions!$C$97)</f>
        <v/>
      </c>
      <c r="G9" s="47">
        <f>Assumptions!$G$89*Assumptions!$C$90*($B9*((Assumptions!$C$56*G$6+Assumptions!$C$57*G$6*(1-Assumptions!$C$48)+Assumptions!$C$58*G$6*(1-Assumptions!$C$49)+Assumptions!$C$59*G$6*(1-Assumptions!$C$50))/(Assumptions!$C$56+Assumptions!$C$57+Assumptions!$C$58+Assumptions!$C$59)))*Assumptions!$C$97+(((Assumptions!$C$39*Assumptions!$C$43*((Assumptions!$C$64*Assumptions!$C$65*Assumptions!$C$63)*((Assumptions!$C$56*G$6+Assumptions!$C$57*G$6*(1-Assumptions!$C$48)+Assumptions!$C$58*G$6*(1-Assumptions!$C$49)+Assumptions!$C$59*G$6*(1-Assumptions!$C$50))/(Assumptions!$C$56+Assumptions!$C$57+Assumptions!$C$58+Assumptions!$C$59))))+(Assumptions!$C$40*Assumptions!$C$44*((Assumptions!$C$67*Assumptions!$C$68*Assumptions!$C$63)*((Assumptions!$C$56*G$6+Assumptions!$C$57*G$6*(1-Assumptions!$C$48)+Assumptions!$C$58*G$6*(1-Assumptions!$C$49)+Assumptions!$C$59*G$6*(1-Assumptions!$C$50))/(Assumptions!$C$56+Assumptions!$C$57+Assumptions!$C$58+Assumptions!$C$59))))+(Assumptions!$C$41*Assumptions!$C$45*((Assumptions!$C$70*Assumptions!$C$71*Assumptions!$C$63)*((Assumptions!$C$56*G$6+Assumptions!$C$57*G$6*(1-Assumptions!$C$48)+Assumptions!$C$58*G$6*(1-Assumptions!$C$49)+Assumptions!$C$59*G$6*(1-Assumptions!$C$50))/(Assumptions!$C$56+Assumptions!$C$57+Assumptions!$C$58+Assumptions!$C$59)))))*Assumptions!$C$92*Assumptions!$C$97)</f>
        <v/>
      </c>
    </row>
    <row r="10">
      <c r="B10" s="46" t="n">
        <v>250</v>
      </c>
      <c r="C10" s="47">
        <f>Assumptions!$G$89*Assumptions!$C$90*($B10*((Assumptions!$C$56*C$6+Assumptions!$C$57*C$6*(1-Assumptions!$C$48)+Assumptions!$C$58*C$6*(1-Assumptions!$C$49)+Assumptions!$C$59*C$6*(1-Assumptions!$C$50))/(Assumptions!$C$56+Assumptions!$C$57+Assumptions!$C$58+Assumptions!$C$59)))*Assumptions!$C$97+(((Assumptions!$C$39*Assumptions!$C$43*((Assumptions!$C$64*Assumptions!$C$65*Assumptions!$C$63)*((Assumptions!$C$56*C$6+Assumptions!$C$57*C$6*(1-Assumptions!$C$48)+Assumptions!$C$58*C$6*(1-Assumptions!$C$49)+Assumptions!$C$59*C$6*(1-Assumptions!$C$50))/(Assumptions!$C$56+Assumptions!$C$57+Assumptions!$C$58+Assumptions!$C$59))))+(Assumptions!$C$40*Assumptions!$C$44*((Assumptions!$C$67*Assumptions!$C$68*Assumptions!$C$63)*((Assumptions!$C$56*C$6+Assumptions!$C$57*C$6*(1-Assumptions!$C$48)+Assumptions!$C$58*C$6*(1-Assumptions!$C$49)+Assumptions!$C$59*C$6*(1-Assumptions!$C$50))/(Assumptions!$C$56+Assumptions!$C$57+Assumptions!$C$58+Assumptions!$C$59))))+(Assumptions!$C$41*Assumptions!$C$45*((Assumptions!$C$70*Assumptions!$C$71*Assumptions!$C$63)*((Assumptions!$C$56*C$6+Assumptions!$C$57*C$6*(1-Assumptions!$C$48)+Assumptions!$C$58*C$6*(1-Assumptions!$C$49)+Assumptions!$C$59*C$6*(1-Assumptions!$C$50))/(Assumptions!$C$56+Assumptions!$C$57+Assumptions!$C$58+Assumptions!$C$59)))))*Assumptions!$C$92*Assumptions!$C$97)</f>
        <v/>
      </c>
      <c r="D10" s="47">
        <f>Assumptions!$G$89*Assumptions!$C$90*($B10*((Assumptions!$C$56*D$6+Assumptions!$C$57*D$6*(1-Assumptions!$C$48)+Assumptions!$C$58*D$6*(1-Assumptions!$C$49)+Assumptions!$C$59*D$6*(1-Assumptions!$C$50))/(Assumptions!$C$56+Assumptions!$C$57+Assumptions!$C$58+Assumptions!$C$59)))*Assumptions!$C$97+(((Assumptions!$C$39*Assumptions!$C$43*((Assumptions!$C$64*Assumptions!$C$65*Assumptions!$C$63)*((Assumptions!$C$56*D$6+Assumptions!$C$57*D$6*(1-Assumptions!$C$48)+Assumptions!$C$58*D$6*(1-Assumptions!$C$49)+Assumptions!$C$59*D$6*(1-Assumptions!$C$50))/(Assumptions!$C$56+Assumptions!$C$57+Assumptions!$C$58+Assumptions!$C$59))))+(Assumptions!$C$40*Assumptions!$C$44*((Assumptions!$C$67*Assumptions!$C$68*Assumptions!$C$63)*((Assumptions!$C$56*D$6+Assumptions!$C$57*D$6*(1-Assumptions!$C$48)+Assumptions!$C$58*D$6*(1-Assumptions!$C$49)+Assumptions!$C$59*D$6*(1-Assumptions!$C$50))/(Assumptions!$C$56+Assumptions!$C$57+Assumptions!$C$58+Assumptions!$C$59))))+(Assumptions!$C$41*Assumptions!$C$45*((Assumptions!$C$70*Assumptions!$C$71*Assumptions!$C$63)*((Assumptions!$C$56*D$6+Assumptions!$C$57*D$6*(1-Assumptions!$C$48)+Assumptions!$C$58*D$6*(1-Assumptions!$C$49)+Assumptions!$C$59*D$6*(1-Assumptions!$C$50))/(Assumptions!$C$56+Assumptions!$C$57+Assumptions!$C$58+Assumptions!$C$59)))))*Assumptions!$C$92*Assumptions!$C$97)</f>
        <v/>
      </c>
      <c r="E10" s="47">
        <f>Assumptions!$G$89*Assumptions!$C$90*($B10*((Assumptions!$C$56*E$6+Assumptions!$C$57*E$6*(1-Assumptions!$C$48)+Assumptions!$C$58*E$6*(1-Assumptions!$C$49)+Assumptions!$C$59*E$6*(1-Assumptions!$C$50))/(Assumptions!$C$56+Assumptions!$C$57+Assumptions!$C$58+Assumptions!$C$59)))*Assumptions!$C$97+(((Assumptions!$C$39*Assumptions!$C$43*((Assumptions!$C$64*Assumptions!$C$65*Assumptions!$C$63)*((Assumptions!$C$56*E$6+Assumptions!$C$57*E$6*(1-Assumptions!$C$48)+Assumptions!$C$58*E$6*(1-Assumptions!$C$49)+Assumptions!$C$59*E$6*(1-Assumptions!$C$50))/(Assumptions!$C$56+Assumptions!$C$57+Assumptions!$C$58+Assumptions!$C$59))))+(Assumptions!$C$40*Assumptions!$C$44*((Assumptions!$C$67*Assumptions!$C$68*Assumptions!$C$63)*((Assumptions!$C$56*E$6+Assumptions!$C$57*E$6*(1-Assumptions!$C$48)+Assumptions!$C$58*E$6*(1-Assumptions!$C$49)+Assumptions!$C$59*E$6*(1-Assumptions!$C$50))/(Assumptions!$C$56+Assumptions!$C$57+Assumptions!$C$58+Assumptions!$C$59))))+(Assumptions!$C$41*Assumptions!$C$45*((Assumptions!$C$70*Assumptions!$C$71*Assumptions!$C$63)*((Assumptions!$C$56*E$6+Assumptions!$C$57*E$6*(1-Assumptions!$C$48)+Assumptions!$C$58*E$6*(1-Assumptions!$C$49)+Assumptions!$C$59*E$6*(1-Assumptions!$C$50))/(Assumptions!$C$56+Assumptions!$C$57+Assumptions!$C$58+Assumptions!$C$59)))))*Assumptions!$C$92*Assumptions!$C$97)</f>
        <v/>
      </c>
      <c r="F10" s="47">
        <f>Assumptions!$G$89*Assumptions!$C$90*($B10*((Assumptions!$C$56*F$6+Assumptions!$C$57*F$6*(1-Assumptions!$C$48)+Assumptions!$C$58*F$6*(1-Assumptions!$C$49)+Assumptions!$C$59*F$6*(1-Assumptions!$C$50))/(Assumptions!$C$56+Assumptions!$C$57+Assumptions!$C$58+Assumptions!$C$59)))*Assumptions!$C$97+(((Assumptions!$C$39*Assumptions!$C$43*((Assumptions!$C$64*Assumptions!$C$65*Assumptions!$C$63)*((Assumptions!$C$56*F$6+Assumptions!$C$57*F$6*(1-Assumptions!$C$48)+Assumptions!$C$58*F$6*(1-Assumptions!$C$49)+Assumptions!$C$59*F$6*(1-Assumptions!$C$50))/(Assumptions!$C$56+Assumptions!$C$57+Assumptions!$C$58+Assumptions!$C$59))))+(Assumptions!$C$40*Assumptions!$C$44*((Assumptions!$C$67*Assumptions!$C$68*Assumptions!$C$63)*((Assumptions!$C$56*F$6+Assumptions!$C$57*F$6*(1-Assumptions!$C$48)+Assumptions!$C$58*F$6*(1-Assumptions!$C$49)+Assumptions!$C$59*F$6*(1-Assumptions!$C$50))/(Assumptions!$C$56+Assumptions!$C$57+Assumptions!$C$58+Assumptions!$C$59))))+(Assumptions!$C$41*Assumptions!$C$45*((Assumptions!$C$70*Assumptions!$C$71*Assumptions!$C$63)*((Assumptions!$C$56*F$6+Assumptions!$C$57*F$6*(1-Assumptions!$C$48)+Assumptions!$C$58*F$6*(1-Assumptions!$C$49)+Assumptions!$C$59*F$6*(1-Assumptions!$C$50))/(Assumptions!$C$56+Assumptions!$C$57+Assumptions!$C$58+Assumptions!$C$59)))))*Assumptions!$C$92*Assumptions!$C$97)</f>
        <v/>
      </c>
      <c r="G10" s="47">
        <f>Assumptions!$G$89*Assumptions!$C$90*($B10*((Assumptions!$C$56*G$6+Assumptions!$C$57*G$6*(1-Assumptions!$C$48)+Assumptions!$C$58*G$6*(1-Assumptions!$C$49)+Assumptions!$C$59*G$6*(1-Assumptions!$C$50))/(Assumptions!$C$56+Assumptions!$C$57+Assumptions!$C$58+Assumptions!$C$59)))*Assumptions!$C$97+(((Assumptions!$C$39*Assumptions!$C$43*((Assumptions!$C$64*Assumptions!$C$65*Assumptions!$C$63)*((Assumptions!$C$56*G$6+Assumptions!$C$57*G$6*(1-Assumptions!$C$48)+Assumptions!$C$58*G$6*(1-Assumptions!$C$49)+Assumptions!$C$59*G$6*(1-Assumptions!$C$50))/(Assumptions!$C$56+Assumptions!$C$57+Assumptions!$C$58+Assumptions!$C$59))))+(Assumptions!$C$40*Assumptions!$C$44*((Assumptions!$C$67*Assumptions!$C$68*Assumptions!$C$63)*((Assumptions!$C$56*G$6+Assumptions!$C$57*G$6*(1-Assumptions!$C$48)+Assumptions!$C$58*G$6*(1-Assumptions!$C$49)+Assumptions!$C$59*G$6*(1-Assumptions!$C$50))/(Assumptions!$C$56+Assumptions!$C$57+Assumptions!$C$58+Assumptions!$C$59))))+(Assumptions!$C$41*Assumptions!$C$45*((Assumptions!$C$70*Assumptions!$C$71*Assumptions!$C$63)*((Assumptions!$C$56*G$6+Assumptions!$C$57*G$6*(1-Assumptions!$C$48)+Assumptions!$C$58*G$6*(1-Assumptions!$C$49)+Assumptions!$C$59*G$6*(1-Assumptions!$C$50))/(Assumptions!$C$56+Assumptions!$C$57+Assumptions!$C$58+Assumptions!$C$59)))))*Assumptions!$C$92*Assumptions!$C$97)</f>
        <v/>
      </c>
    </row>
    <row r="11">
      <c r="B11" s="46" t="n">
        <v>300</v>
      </c>
      <c r="C11" s="47">
        <f>Assumptions!$G$89*Assumptions!$C$90*($B11*((Assumptions!$C$56*C$6+Assumptions!$C$57*C$6*(1-Assumptions!$C$48)+Assumptions!$C$58*C$6*(1-Assumptions!$C$49)+Assumptions!$C$59*C$6*(1-Assumptions!$C$50))/(Assumptions!$C$56+Assumptions!$C$57+Assumptions!$C$58+Assumptions!$C$59)))*Assumptions!$C$97+(((Assumptions!$C$39*Assumptions!$C$43*((Assumptions!$C$64*Assumptions!$C$65*Assumptions!$C$63)*((Assumptions!$C$56*C$6+Assumptions!$C$57*C$6*(1-Assumptions!$C$48)+Assumptions!$C$58*C$6*(1-Assumptions!$C$49)+Assumptions!$C$59*C$6*(1-Assumptions!$C$50))/(Assumptions!$C$56+Assumptions!$C$57+Assumptions!$C$58+Assumptions!$C$59))))+(Assumptions!$C$40*Assumptions!$C$44*((Assumptions!$C$67*Assumptions!$C$68*Assumptions!$C$63)*((Assumptions!$C$56*C$6+Assumptions!$C$57*C$6*(1-Assumptions!$C$48)+Assumptions!$C$58*C$6*(1-Assumptions!$C$49)+Assumptions!$C$59*C$6*(1-Assumptions!$C$50))/(Assumptions!$C$56+Assumptions!$C$57+Assumptions!$C$58+Assumptions!$C$59))))+(Assumptions!$C$41*Assumptions!$C$45*((Assumptions!$C$70*Assumptions!$C$71*Assumptions!$C$63)*((Assumptions!$C$56*C$6+Assumptions!$C$57*C$6*(1-Assumptions!$C$48)+Assumptions!$C$58*C$6*(1-Assumptions!$C$49)+Assumptions!$C$59*C$6*(1-Assumptions!$C$50))/(Assumptions!$C$56+Assumptions!$C$57+Assumptions!$C$58+Assumptions!$C$59)))))*Assumptions!$C$92*Assumptions!$C$97)</f>
        <v/>
      </c>
      <c r="D11" s="47">
        <f>Assumptions!$G$89*Assumptions!$C$90*($B11*((Assumptions!$C$56*D$6+Assumptions!$C$57*D$6*(1-Assumptions!$C$48)+Assumptions!$C$58*D$6*(1-Assumptions!$C$49)+Assumptions!$C$59*D$6*(1-Assumptions!$C$50))/(Assumptions!$C$56+Assumptions!$C$57+Assumptions!$C$58+Assumptions!$C$59)))*Assumptions!$C$97+(((Assumptions!$C$39*Assumptions!$C$43*((Assumptions!$C$64*Assumptions!$C$65*Assumptions!$C$63)*((Assumptions!$C$56*D$6+Assumptions!$C$57*D$6*(1-Assumptions!$C$48)+Assumptions!$C$58*D$6*(1-Assumptions!$C$49)+Assumptions!$C$59*D$6*(1-Assumptions!$C$50))/(Assumptions!$C$56+Assumptions!$C$57+Assumptions!$C$58+Assumptions!$C$59))))+(Assumptions!$C$40*Assumptions!$C$44*((Assumptions!$C$67*Assumptions!$C$68*Assumptions!$C$63)*((Assumptions!$C$56*D$6+Assumptions!$C$57*D$6*(1-Assumptions!$C$48)+Assumptions!$C$58*D$6*(1-Assumptions!$C$49)+Assumptions!$C$59*D$6*(1-Assumptions!$C$50))/(Assumptions!$C$56+Assumptions!$C$57+Assumptions!$C$58+Assumptions!$C$59))))+(Assumptions!$C$41*Assumptions!$C$45*((Assumptions!$C$70*Assumptions!$C$71*Assumptions!$C$63)*((Assumptions!$C$56*D$6+Assumptions!$C$57*D$6*(1-Assumptions!$C$48)+Assumptions!$C$58*D$6*(1-Assumptions!$C$49)+Assumptions!$C$59*D$6*(1-Assumptions!$C$50))/(Assumptions!$C$56+Assumptions!$C$57+Assumptions!$C$58+Assumptions!$C$59)))))*Assumptions!$C$92*Assumptions!$C$97)</f>
        <v/>
      </c>
      <c r="E11" s="47">
        <f>Assumptions!$G$89*Assumptions!$C$90*($B11*((Assumptions!$C$56*E$6+Assumptions!$C$57*E$6*(1-Assumptions!$C$48)+Assumptions!$C$58*E$6*(1-Assumptions!$C$49)+Assumptions!$C$59*E$6*(1-Assumptions!$C$50))/(Assumptions!$C$56+Assumptions!$C$57+Assumptions!$C$58+Assumptions!$C$59)))*Assumptions!$C$97+(((Assumptions!$C$39*Assumptions!$C$43*((Assumptions!$C$64*Assumptions!$C$65*Assumptions!$C$63)*((Assumptions!$C$56*E$6+Assumptions!$C$57*E$6*(1-Assumptions!$C$48)+Assumptions!$C$58*E$6*(1-Assumptions!$C$49)+Assumptions!$C$59*E$6*(1-Assumptions!$C$50))/(Assumptions!$C$56+Assumptions!$C$57+Assumptions!$C$58+Assumptions!$C$59))))+(Assumptions!$C$40*Assumptions!$C$44*((Assumptions!$C$67*Assumptions!$C$68*Assumptions!$C$63)*((Assumptions!$C$56*E$6+Assumptions!$C$57*E$6*(1-Assumptions!$C$48)+Assumptions!$C$58*E$6*(1-Assumptions!$C$49)+Assumptions!$C$59*E$6*(1-Assumptions!$C$50))/(Assumptions!$C$56+Assumptions!$C$57+Assumptions!$C$58+Assumptions!$C$59))))+(Assumptions!$C$41*Assumptions!$C$45*((Assumptions!$C$70*Assumptions!$C$71*Assumptions!$C$63)*((Assumptions!$C$56*E$6+Assumptions!$C$57*E$6*(1-Assumptions!$C$48)+Assumptions!$C$58*E$6*(1-Assumptions!$C$49)+Assumptions!$C$59*E$6*(1-Assumptions!$C$50))/(Assumptions!$C$56+Assumptions!$C$57+Assumptions!$C$58+Assumptions!$C$59)))))*Assumptions!$C$92*Assumptions!$C$97)</f>
        <v/>
      </c>
      <c r="F11" s="47">
        <f>Assumptions!$G$89*Assumptions!$C$90*($B11*((Assumptions!$C$56*F$6+Assumptions!$C$57*F$6*(1-Assumptions!$C$48)+Assumptions!$C$58*F$6*(1-Assumptions!$C$49)+Assumptions!$C$59*F$6*(1-Assumptions!$C$50))/(Assumptions!$C$56+Assumptions!$C$57+Assumptions!$C$58+Assumptions!$C$59)))*Assumptions!$C$97+(((Assumptions!$C$39*Assumptions!$C$43*((Assumptions!$C$64*Assumptions!$C$65*Assumptions!$C$63)*((Assumptions!$C$56*F$6+Assumptions!$C$57*F$6*(1-Assumptions!$C$48)+Assumptions!$C$58*F$6*(1-Assumptions!$C$49)+Assumptions!$C$59*F$6*(1-Assumptions!$C$50))/(Assumptions!$C$56+Assumptions!$C$57+Assumptions!$C$58+Assumptions!$C$59))))+(Assumptions!$C$40*Assumptions!$C$44*((Assumptions!$C$67*Assumptions!$C$68*Assumptions!$C$63)*((Assumptions!$C$56*F$6+Assumptions!$C$57*F$6*(1-Assumptions!$C$48)+Assumptions!$C$58*F$6*(1-Assumptions!$C$49)+Assumptions!$C$59*F$6*(1-Assumptions!$C$50))/(Assumptions!$C$56+Assumptions!$C$57+Assumptions!$C$58+Assumptions!$C$59))))+(Assumptions!$C$41*Assumptions!$C$45*((Assumptions!$C$70*Assumptions!$C$71*Assumptions!$C$63)*((Assumptions!$C$56*F$6+Assumptions!$C$57*F$6*(1-Assumptions!$C$48)+Assumptions!$C$58*F$6*(1-Assumptions!$C$49)+Assumptions!$C$59*F$6*(1-Assumptions!$C$50))/(Assumptions!$C$56+Assumptions!$C$57+Assumptions!$C$58+Assumptions!$C$59)))))*Assumptions!$C$92*Assumptions!$C$97)</f>
        <v/>
      </c>
      <c r="G11" s="47">
        <f>Assumptions!$G$89*Assumptions!$C$90*($B11*((Assumptions!$C$56*G$6+Assumptions!$C$57*G$6*(1-Assumptions!$C$48)+Assumptions!$C$58*G$6*(1-Assumptions!$C$49)+Assumptions!$C$59*G$6*(1-Assumptions!$C$50))/(Assumptions!$C$56+Assumptions!$C$57+Assumptions!$C$58+Assumptions!$C$59)))*Assumptions!$C$97+(((Assumptions!$C$39*Assumptions!$C$43*((Assumptions!$C$64*Assumptions!$C$65*Assumptions!$C$63)*((Assumptions!$C$56*G$6+Assumptions!$C$57*G$6*(1-Assumptions!$C$48)+Assumptions!$C$58*G$6*(1-Assumptions!$C$49)+Assumptions!$C$59*G$6*(1-Assumptions!$C$50))/(Assumptions!$C$56+Assumptions!$C$57+Assumptions!$C$58+Assumptions!$C$59))))+(Assumptions!$C$40*Assumptions!$C$44*((Assumptions!$C$67*Assumptions!$C$68*Assumptions!$C$63)*((Assumptions!$C$56*G$6+Assumptions!$C$57*G$6*(1-Assumptions!$C$48)+Assumptions!$C$58*G$6*(1-Assumptions!$C$49)+Assumptions!$C$59*G$6*(1-Assumptions!$C$50))/(Assumptions!$C$56+Assumptions!$C$57+Assumptions!$C$58+Assumptions!$C$59))))+(Assumptions!$C$41*Assumptions!$C$45*((Assumptions!$C$70*Assumptions!$C$71*Assumptions!$C$63)*((Assumptions!$C$56*G$6+Assumptions!$C$57*G$6*(1-Assumptions!$C$48)+Assumptions!$C$58*G$6*(1-Assumptions!$C$49)+Assumptions!$C$59*G$6*(1-Assumptions!$C$50))/(Assumptions!$C$56+Assumptions!$C$57+Assumptions!$C$58+Assumptions!$C$59)))))*Assumptions!$C$92*Assumptions!$C$97)</f>
        <v/>
      </c>
    </row>
    <row r="13">
      <c r="B13" s="11" t="inlineStr">
        <is>
          <t>Table 2:  SOM (Yr3)  -  Channel attach scalar  vs  Channel tests/account</t>
        </is>
      </c>
    </row>
    <row r="14">
      <c r="B14" s="3" t="inlineStr">
        <is>
          <t>attach x  \  tests/acct</t>
        </is>
      </c>
      <c r="C14" s="48" t="n">
        <v>100</v>
      </c>
      <c r="D14" s="48" t="n">
        <v>150</v>
      </c>
      <c r="E14" s="48" t="n">
        <v>200</v>
      </c>
      <c r="F14" s="48" t="n">
        <v>250</v>
      </c>
      <c r="G14" s="48" t="n">
        <v>300</v>
      </c>
    </row>
    <row r="15">
      <c r="B15" s="49" t="n">
        <v>0.5</v>
      </c>
      <c r="C15" s="47">
        <f>Assumptions!$G$89*$B15*(C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15" s="47">
        <f>Assumptions!$G$89*$B15*(D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15" s="47">
        <f>Assumptions!$G$89*$B15*(E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F15" s="47">
        <f>Assumptions!$G$89*$B15*(F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G15" s="47">
        <f>Assumptions!$G$89*$B15*(G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16">
      <c r="B16" s="49" t="n">
        <v>0.75</v>
      </c>
      <c r="C16" s="47">
        <f>Assumptions!$G$89*$B16*(C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16" s="47">
        <f>Assumptions!$G$89*$B16*(D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16" s="47">
        <f>Assumptions!$G$89*$B16*(E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F16" s="47">
        <f>Assumptions!$G$89*$B16*(F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G16" s="47">
        <f>Assumptions!$G$89*$B16*(G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17">
      <c r="B17" s="49" t="n">
        <v>1</v>
      </c>
      <c r="C17" s="47">
        <f>Assumptions!$G$89*$B17*(C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17" s="47">
        <f>Assumptions!$G$89*$B17*(D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17" s="47">
        <f>Assumptions!$G$89*$B17*(E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F17" s="47">
        <f>Assumptions!$G$89*$B17*(F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G17" s="47">
        <f>Assumptions!$G$89*$B17*(G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18">
      <c r="B18" s="49" t="n">
        <v>1.25</v>
      </c>
      <c r="C18" s="47">
        <f>Assumptions!$G$89*$B18*(C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18" s="47">
        <f>Assumptions!$G$89*$B18*(D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18" s="47">
        <f>Assumptions!$G$89*$B18*(E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F18" s="47">
        <f>Assumptions!$G$89*$B18*(F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G18" s="47">
        <f>Assumptions!$G$89*$B18*(G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19">
      <c r="B19" s="49" t="n">
        <v>1.5</v>
      </c>
      <c r="C19" s="47">
        <f>Assumptions!$G$89*$B19*(C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19" s="47">
        <f>Assumptions!$G$89*$B19*(D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19" s="47">
        <f>Assumptions!$G$89*$B19*(E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F19" s="47">
        <f>Assumptions!$G$89*$B19*(F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G19" s="47">
        <f>Assumptions!$G$89*$B19*(G$14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22">
      <c r="B22" s="11" t="inlineStr">
        <is>
          <t>Tornado:  SOM swing from +/- moves in each driver</t>
        </is>
      </c>
    </row>
    <row r="23">
      <c r="B23" s="38" t="inlineStr">
        <is>
          <t>Driver</t>
        </is>
      </c>
      <c r="C23" s="38" t="inlineStr">
        <is>
          <t>Low case</t>
        </is>
      </c>
      <c r="D23" s="38" t="inlineStr">
        <is>
          <t>Base</t>
        </is>
      </c>
      <c r="E23" s="38" t="inlineStr">
        <is>
          <t>High case</t>
        </is>
      </c>
    </row>
    <row r="24">
      <c r="B24" s="12" t="inlineStr">
        <is>
          <t>Channel attach scalar (0.5 / 1.0 / 1.5)</t>
        </is>
      </c>
      <c r="C24" s="47">
        <f>Assumptions!$G$89*0.5*(Assumptions!$C$75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24" s="47">
        <f>Assumptions!$G$89*Assumptions!$C$90*(Assumptions!$C$75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24" s="47">
        <f>Assumptions!$G$89*1.5*(Assumptions!$C$75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25">
      <c r="B25" s="12" t="inlineStr">
        <is>
          <t>Channel tests/account (100 / base / 300)</t>
        </is>
      </c>
      <c r="C25" s="47">
        <f>Assumptions!$G$89*Assumptions!$C$90*(100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D25" s="47">
        <f>Assumptions!$G$89*Assumptions!$C$90*(Assumptions!$C$75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25" s="47">
        <f>Assumptions!$G$89*Assumptions!$C$90*(300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</row>
    <row r="26">
      <c r="B26" s="12" t="inlineStr">
        <is>
          <t>PAYG price/test ($10 / base $14 / $20)</t>
        </is>
      </c>
      <c r="C26" s="47">
        <f>Assumptions!$G$89*Assumptions!$C$90*(Assumptions!$C$75*((Assumptions!$C$56*10+Assumptions!$C$57*10*(1-Assumptions!$C$48)+Assumptions!$C$58*10*(1-Assumptions!$C$49)+Assumptions!$C$59*10*(1-Assumptions!$C$50))/(Assumptions!$C$56+Assumptions!$C$57+Assumptions!$C$58+Assumptions!$C$59)))*Assumptions!$C$97+(((Assumptions!$C$39*Assumptions!$C$43*((Assumptions!$C$64*Assumptions!$C$65*Assumptions!$C$63)*((Assumptions!$C$56*10+Assumptions!$C$57*10*(1-Assumptions!$C$48)+Assumptions!$C$58*10*(1-Assumptions!$C$49)+Assumptions!$C$59*10*(1-Assumptions!$C$50))/(Assumptions!$C$56+Assumptions!$C$57+Assumptions!$C$58+Assumptions!$C$59))))+(Assumptions!$C$40*Assumptions!$C$44*((Assumptions!$C$67*Assumptions!$C$68*Assumptions!$C$63)*((Assumptions!$C$56*10+Assumptions!$C$57*10*(1-Assumptions!$C$48)+Assumptions!$C$58*10*(1-Assumptions!$C$49)+Assumptions!$C$59*10*(1-Assumptions!$C$50))/(Assumptions!$C$56+Assumptions!$C$57+Assumptions!$C$58+Assumptions!$C$59))))+(Assumptions!$C$41*Assumptions!$C$45*((Assumptions!$C$70*Assumptions!$C$71*Assumptions!$C$63)*((Assumptions!$C$56*10+Assumptions!$C$57*10*(1-Assumptions!$C$48)+Assumptions!$C$58*10*(1-Assumptions!$C$49)+Assumptions!$C$59*10*(1-Assumptions!$C$50))/(Assumptions!$C$56+Assumptions!$C$57+Assumptions!$C$58+Assumptions!$C$59)))))*Assumptions!$C$92*Assumptions!$C$97)</f>
        <v/>
      </c>
      <c r="D26" s="47">
        <f>Assumptions!$G$89*Assumptions!$C$90*(Assumptions!$C$75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*Assumptions!$C$97+(((Assumptions!$C$39*Assumptions!$C$43*((Assumptions!$C$64*Assumptions!$C$65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$40*Assumptions!$C$44*((Assumptions!$C$67*Assumptions!$C$68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+(Assumptions!$C$41*Assumptions!$C$45*((Assumptions!$C$70*Assumptions!$C$71*Assumptions!$C$63)*((Assumptions!$C$56*Assumptions!$C$47+Assumptions!$C$57*Assumptions!$C$47*(1-Assumptions!$C$48)+Assumptions!$C$58*Assumptions!$C$47*(1-Assumptions!$C$49)+Assumptions!$C$59*Assumptions!$C$47*(1-Assumptions!$C$50))/(Assumptions!$C$56+Assumptions!$C$57+Assumptions!$C$58+Assumptions!$C$59)))))*Assumptions!$C$92*Assumptions!$C$97)</f>
        <v/>
      </c>
      <c r="E26" s="47">
        <f>Assumptions!$G$89*Assumptions!$C$90*(Assumptions!$C$75*((Assumptions!$C$56*20+Assumptions!$C$57*20*(1-Assumptions!$C$48)+Assumptions!$C$58*20*(1-Assumptions!$C$49)+Assumptions!$C$59*20*(1-Assumptions!$C$50))/(Assumptions!$C$56+Assumptions!$C$57+Assumptions!$C$58+Assumptions!$C$59)))*Assumptions!$C$97+(((Assumptions!$C$39*Assumptions!$C$43*((Assumptions!$C$64*Assumptions!$C$65*Assumptions!$C$63)*((Assumptions!$C$56*20+Assumptions!$C$57*20*(1-Assumptions!$C$48)+Assumptions!$C$58*20*(1-Assumptions!$C$49)+Assumptions!$C$59*20*(1-Assumptions!$C$50))/(Assumptions!$C$56+Assumptions!$C$57+Assumptions!$C$58+Assumptions!$C$59))))+(Assumptions!$C$40*Assumptions!$C$44*((Assumptions!$C$67*Assumptions!$C$68*Assumptions!$C$63)*((Assumptions!$C$56*20+Assumptions!$C$57*20*(1-Assumptions!$C$48)+Assumptions!$C$58*20*(1-Assumptions!$C$49)+Assumptions!$C$59*20*(1-Assumptions!$C$50))/(Assumptions!$C$56+Assumptions!$C$57+Assumptions!$C$58+Assumptions!$C$59))))+(Assumptions!$C$41*Assumptions!$C$45*((Assumptions!$C$70*Assumptions!$C$71*Assumptions!$C$63)*((Assumptions!$C$56*20+Assumptions!$C$57*20*(1-Assumptions!$C$48)+Assumptions!$C$58*20*(1-Assumptions!$C$49)+Assumptions!$C$59*20*(1-Assumptions!$C$50))/(Assumptions!$C$56+Assumptions!$C$57+Assumptions!$C$58+Assumptions!$C$59)))))*Assumptions!$C$92*Assumptions!$C$97)</f>
        <v/>
      </c>
    </row>
  </sheetData>
  <mergeCells count="1">
    <mergeCell ref="B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30" customWidth="1" min="4" max="4"/>
    <col width="58" customWidth="1" min="5" max="5"/>
    <col width="12" customWidth="1" min="6" max="6"/>
    <col width="10" customWidth="1" min="7" max="7"/>
  </cols>
  <sheetData>
    <row r="2">
      <c r="B2" s="18" t="inlineStr">
        <is>
          <t>INVIRTUS  -  Sources</t>
        </is>
      </c>
    </row>
    <row r="3">
      <c r="B3" s="19" t="inlineStr">
        <is>
          <t>One row per researched input. Figures triangulated where official counts are absent; confidence noted.</t>
        </is>
      </c>
    </row>
    <row r="5">
      <c r="B5" s="38" t="inlineStr">
        <is>
          <t>Key</t>
        </is>
      </c>
      <c r="C5" s="38" t="inlineStr">
        <is>
          <t>Input</t>
        </is>
      </c>
      <c r="D5" s="38" t="inlineStr">
        <is>
          <t>Source</t>
        </is>
      </c>
      <c r="E5" s="38" t="inlineStr">
        <is>
          <t>URL</t>
        </is>
      </c>
      <c r="F5" s="38" t="inlineStr">
        <is>
          <t>Date</t>
        </is>
      </c>
      <c r="G5" s="38" t="inlineStr">
        <is>
          <t>Conf.</t>
        </is>
      </c>
    </row>
    <row r="6">
      <c r="B6" s="50" t="inlineStr">
        <is>
          <t>S1</t>
        </is>
      </c>
      <c r="C6" s="51" t="inlineStr">
        <is>
          <t>France: agencies &amp; firm counts</t>
        </is>
      </c>
      <c r="D6" s="51" t="inlineStr">
        <is>
          <t>INSEE SIRENE (7810Z/7820Z); Modeles de Business Plan</t>
        </is>
      </c>
      <c r="E6" s="52" t="inlineStr">
        <is>
          <t>public.opendatasoft.com/explore/dataset/economicref-france-sirene-v3 ; modelesdebusinessplan.com/blogs/infos/nombre-cabinets-recrutement-france</t>
        </is>
      </c>
      <c r="F6" s="53" t="inlineStr">
        <is>
          <t>2026-06-16</t>
        </is>
      </c>
      <c r="G6" s="53" t="inlineStr">
        <is>
          <t>High/Low</t>
        </is>
      </c>
    </row>
    <row r="7">
      <c r="B7" s="50" t="inlineStr">
        <is>
          <t>S2</t>
        </is>
      </c>
      <c r="C7" s="51" t="inlineStr">
        <is>
          <t>UK: agencies &amp; firm counts</t>
        </is>
      </c>
      <c r="D7" s="51" t="inlineStr">
        <is>
          <t>REC / ONS / Dealroom (triangulated)</t>
        </is>
      </c>
      <c r="E7" s="52" t="inlineStr">
        <is>
          <t>rec.uk.com ; ons.gov.uk</t>
        </is>
      </c>
      <c r="F7" s="53" t="inlineStr">
        <is>
          <t>2026-06-16</t>
        </is>
      </c>
      <c r="G7" s="53" t="inlineStr">
        <is>
          <t>Med</t>
        </is>
      </c>
    </row>
    <row r="8">
      <c r="B8" s="50" t="inlineStr">
        <is>
          <t>S3</t>
        </is>
      </c>
      <c r="C8" s="51" t="inlineStr">
        <is>
          <t>UAE: tech firms &amp; mid-size</t>
        </is>
      </c>
      <c r="D8" s="51" t="inlineStr">
        <is>
          <t>DIC; MAGNiTT; DIFC 2024; UAE Min. of Economy (557k SMEs)</t>
        </is>
      </c>
      <c r="E8" s="52" t="inlineStr">
        <is>
          <t>magnitt.com/en-ae/startups ; thenationalnews.com/business/economy/2023/04/06</t>
        </is>
      </c>
      <c r="F8" s="53" t="inlineStr">
        <is>
          <t>2026-06-16</t>
        </is>
      </c>
      <c r="G8" s="53" t="inlineStr">
        <is>
          <t>Med</t>
        </is>
      </c>
    </row>
    <row r="9">
      <c r="B9" s="50" t="inlineStr">
        <is>
          <t>S4</t>
        </is>
      </c>
      <c r="C9" s="51" t="inlineStr">
        <is>
          <t>Morocco: agencies, tech &amp; mid-size</t>
        </is>
      </c>
      <c r="D9" s="51" t="inlineStr">
        <is>
          <t>EcoActu/MIEPEEC; OMTPME 2025; UM6P; APEBI</t>
        </is>
      </c>
      <c r="E9" s="52" t="inlineStr">
        <is>
          <t>ecoactu.ma/lintermediation-emploi ; lematin.ma (OMTPME 2025)</t>
        </is>
      </c>
      <c r="F9" s="53" t="inlineStr">
        <is>
          <t>2026-06-16</t>
        </is>
      </c>
      <c r="G9" s="53" t="inlineStr">
        <is>
          <t>Med/Low</t>
        </is>
      </c>
    </row>
    <row r="10">
      <c r="B10" s="50" t="inlineStr">
        <is>
          <t>S5</t>
        </is>
      </c>
      <c r="C10" s="51" t="inlineStr">
        <is>
          <t>KSA: tech firms &amp; mid-size</t>
        </is>
      </c>
      <c r="D10" s="51" t="inlineStr">
        <is>
          <t>Monsha'at SME Monitor Q4'23 (18,723 medium); CST Manassa (1,000+)</t>
        </is>
      </c>
      <c r="E10" s="52" t="inlineStr">
        <is>
          <t>argaam.com/en/article/articledetail/id/1709526 ; my.gov.sa/en/news/10102</t>
        </is>
      </c>
      <c r="F10" s="53" t="inlineStr">
        <is>
          <t>2026-06-16</t>
        </is>
      </c>
      <c r="G10" s="53" t="inlineStr">
        <is>
          <t>Med/High</t>
        </is>
      </c>
    </row>
    <row r="11">
      <c r="B11" s="50" t="inlineStr">
        <is>
          <t>S6</t>
        </is>
      </c>
      <c r="C11" s="51" t="inlineStr">
        <is>
          <t>Egypt: tech firms &amp; mid-size</t>
        </is>
      </c>
      <c r="D11" s="51" t="inlineStr">
        <is>
          <t>CAPMAS 5th Economic Census; ITIDA Outlook 2026; MAGNiTT</t>
        </is>
      </c>
      <c r="E11" s="52" t="inlineStr">
        <is>
          <t>censusinfo.capmas.gov.eg ; itida.gov.eg ; magnitt.com/en-eg/startups</t>
        </is>
      </c>
      <c r="F11" s="53" t="inlineStr">
        <is>
          <t>2026-06-16</t>
        </is>
      </c>
      <c r="G11" s="53" t="inlineStr">
        <is>
          <t>Med/Low</t>
        </is>
      </c>
    </row>
    <row r="12">
      <c r="B12" s="50" t="inlineStr">
        <is>
          <t>S7</t>
        </is>
      </c>
      <c r="C12" s="51" t="inlineStr">
        <is>
          <t>Pricing: $14/test + packs (finalized BP); benchmarked</t>
        </is>
      </c>
      <c r="D12" s="51" t="inlineStr">
        <is>
          <t>Invirtus finalized BP (Aida); TestGorilla; TestDome; Adaface; HackerRank pricing</t>
        </is>
      </c>
      <c r="E12" s="52" t="inlineStr">
        <is>
          <t>Invirtus_business_plan.xlsx ; testgorilla.com/pricing ; testdome.com/pricing ; adaface.com/pricing</t>
        </is>
      </c>
      <c r="F12" s="53" t="inlineStr">
        <is>
          <t>2026-06-17</t>
        </is>
      </c>
      <c r="G12" s="53" t="inlineStr">
        <is>
          <t>High</t>
        </is>
      </c>
    </row>
    <row r="13">
      <c r="B13" s="50" t="inlineStr">
        <is>
          <t>S8</t>
        </is>
      </c>
      <c r="C13" s="51" t="inlineStr">
        <is>
          <t>Traction: Manatal, retention, value anchor, funnel</t>
        </is>
      </c>
      <c r="D13" s="51" t="inlineStr">
        <is>
          <t>Invirtus April 2026 IC Update; GTM notes (34V Notion)</t>
        </is>
      </c>
      <c r="E13" s="52" t="inlineStr">
        <is>
          <t>Notion: Invirtus - April 2026 IC Update ; Invirtus - GTM</t>
        </is>
      </c>
      <c r="F13" s="53" t="inlineStr">
        <is>
          <t>2026-06-16</t>
        </is>
      </c>
      <c r="G13" s="53" t="inlineStr">
        <is>
          <t>Co. data</t>
        </is>
      </c>
    </row>
    <row r="14">
      <c r="B14" s="50" t="inlineStr">
        <is>
          <t>S9</t>
        </is>
      </c>
      <c r="C14" s="51" t="inlineStr">
        <is>
          <t>Second ATS (Socium) - upside</t>
        </is>
      </c>
      <c r="D14" s="51" t="inlineStr">
        <is>
          <t>Invirtus GTM notes (integration being explored)</t>
        </is>
      </c>
      <c r="E14" s="52" t="inlineStr">
        <is>
          <t>Notion: Invirtus - GTM</t>
        </is>
      </c>
      <c r="F14" s="53" t="inlineStr">
        <is>
          <t>2026-06-16</t>
        </is>
      </c>
      <c r="G14" s="53" t="inlineStr">
        <is>
          <t>Co. data</t>
        </is>
      </c>
    </row>
    <row r="16">
      <c r="B16" s="23" t="inlineStr">
        <is>
          <t>Methodology note: 'medium enterprise' bands differ by country (KSA 50-249 emp; Morocco turnover-based 50-175M MAD; UAE &lt;200 emp; Egypt 50+ emp census band). Mid-size counts are the closest official proxy x an engineer-hiring share. The engineer-hiring share and use-case-fit % are the softest inputs - pressure-test before locking TAM.</t>
        </is>
      </c>
    </row>
    <row r="17"/>
    <row r="18"/>
  </sheetData>
  <mergeCells count="2">
    <mergeCell ref="B3:G3"/>
    <mergeCell ref="B16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2026-06-24T13:52:12Z</dcterms:created>
  <dcterms:modified xsi:type="dcterms:W3CDTF">2026-06-24T13:52:12Z</dcterms:modified>
</cp:coreProperties>
</file>