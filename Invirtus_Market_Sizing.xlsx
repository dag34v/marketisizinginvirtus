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Build" sheetId="3" state="visible" r:id="rId3"/>
    <sheet name="Sensitivity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.00"/>
    <numFmt numFmtId="166" formatCode="0.0%"/>
    <numFmt numFmtId="167" formatCode="$#,##0.00,,,&quot;B&quot;"/>
    <numFmt numFmtId="168" formatCode="$#,##0.0,,&quot;M&quot;"/>
  </numFmts>
  <fonts count="14">
    <font>
      <name val="Calibri"/>
      <family val="2"/>
      <color theme="1"/>
      <sz val="11"/>
      <scheme val="minor"/>
    </font>
    <font>
      <name val="Calibri"/>
      <b val="1"/>
      <color rgb="FF1F2A44"/>
      <sz val="22"/>
    </font>
    <font>
      <name val="Calibri"/>
      <i val="1"/>
      <color rgb="FF7F7F7F"/>
      <sz val="11"/>
    </font>
    <font>
      <name val="Calibri"/>
      <b val="1"/>
      <color rgb="FF1F2A44"/>
      <sz val="11"/>
    </font>
    <font>
      <name val="Calibri"/>
      <b val="1"/>
      <color rgb="FFFFFFFF"/>
      <sz val="13"/>
    </font>
    <font>
      <name val="Calibri"/>
      <color rgb="FF000000"/>
      <sz val="10"/>
    </font>
    <font>
      <name val="Calibri"/>
      <color rgb="FF0000FF"/>
      <sz val="10"/>
    </font>
    <font>
      <name val="Calibri"/>
      <i val="1"/>
      <color rgb="FF7F7F7F"/>
      <sz val="9"/>
    </font>
    <font>
      <name val="Calibri"/>
      <b val="1"/>
      <color rgb="FF000000"/>
      <sz val="10"/>
    </font>
    <font>
      <name val="Calibri"/>
      <b val="1"/>
      <color rgb="FF1F2A44"/>
      <sz val="30"/>
    </font>
    <font>
      <name val="Calibri"/>
      <color rgb="FF7F7F7F"/>
      <sz val="14"/>
    </font>
    <font>
      <name val="Calibri"/>
      <color rgb="FF1F2A44"/>
      <sz val="11"/>
    </font>
    <font>
      <name val="Calibri"/>
      <b val="1"/>
      <color rgb="FF7F7F7F"/>
      <sz val="11"/>
    </font>
    <font>
      <name val="Calibri"/>
      <b val="1"/>
      <color rgb="FF1F2A44"/>
      <sz val="28"/>
    </font>
  </fonts>
  <fills count="6">
    <fill>
      <patternFill/>
    </fill>
    <fill>
      <patternFill patternType="gray125"/>
    </fill>
    <fill>
      <patternFill patternType="solid">
        <fgColor rgb="FFE7DDEA"/>
      </patternFill>
    </fill>
    <fill>
      <patternFill patternType="solid">
        <fgColor rgb="FF1F2A44"/>
      </patternFill>
    </fill>
    <fill>
      <patternFill patternType="solid">
        <fgColor rgb="FFFFFDE7"/>
      </patternFill>
    </fill>
    <fill>
      <patternFill patternType="solid">
        <fgColor rgb="FFF3EFE9"/>
      </patternFill>
    </fill>
  </fills>
  <borders count="3">
    <border>
      <left/>
      <right/>
      <top/>
      <bottom/>
      <diagonal/>
    </border>
    <border>
      <top style="thin">
        <color rgb="FF7F7F7F"/>
      </top>
    </border>
    <border>
      <left style="thin">
        <color rgb="FFD9D2DE"/>
      </left>
      <right style="thin">
        <color rgb="FFD9D2DE"/>
      </right>
      <top style="thin">
        <color rgb="FFD9D2DE"/>
      </top>
      <bottom style="thin">
        <color rgb="FFD9D2DE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11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0" fontId="12" fillId="0" borderId="0" pivotButton="0" quotePrefix="0" xfId="0"/>
    <xf numFmtId="167" fontId="13" fillId="0" borderId="0" pivotButton="0" quotePrefix="0" xfId="0"/>
    <xf numFmtId="168" fontId="13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68" fontId="8" fillId="0" borderId="0" pivotButton="0" quotePrefix="0" xfId="0"/>
    <xf numFmtId="0" fontId="8" fillId="0" borderId="0" pivotButton="0" quotePrefix="0" xfId="0"/>
    <xf numFmtId="2" fontId="8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right" vertical="center"/>
    </xf>
    <xf numFmtId="49" fontId="5" fillId="0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166" fontId="6" fillId="4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center" vertical="center"/>
    </xf>
    <xf numFmtId="9" fontId="6" fillId="4" borderId="0" applyAlignment="1" pivotButton="0" quotePrefix="0" xfId="0">
      <alignment horizontal="right" vertical="center"/>
    </xf>
    <xf numFmtId="3" fontId="5" fillId="0" borderId="0" pivotButton="0" quotePrefix="0" xfId="0"/>
    <xf numFmtId="3" fontId="8" fillId="0" borderId="1" pivotButton="0" quotePrefix="0" xfId="0"/>
    <xf numFmtId="2" fontId="6" fillId="4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166" fontId="5" fillId="0" borderId="0" pivotButton="0" quotePrefix="0" xfId="0"/>
    <xf numFmtId="3" fontId="8" fillId="0" borderId="0" pivotButton="0" quotePrefix="0" xfId="0"/>
    <xf numFmtId="168" fontId="5" fillId="0" borderId="0" pivotButton="0" quotePrefix="0" xfId="0"/>
    <xf numFmtId="0" fontId="8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22" customWidth="1" min="3" max="3"/>
    <col width="22" customWidth="1" min="4" max="4"/>
    <col width="6" customWidth="1" min="5" max="5"/>
  </cols>
  <sheetData>
    <row r="2">
      <c r="B2" s="1" t="inlineStr">
        <is>
          <t>INVIRTUS</t>
        </is>
      </c>
    </row>
    <row r="3">
      <c r="B3" s="2" t="inlineStr">
        <is>
          <t>Bottoms-Up Revenue Potential</t>
        </is>
      </c>
    </row>
    <row r="4">
      <c r="B4" s="3" t="inlineStr">
        <is>
          <t>Candidate assessment platform  |  USD  |  June 2026</t>
        </is>
      </c>
    </row>
    <row r="6">
      <c r="B6" s="4" t="inlineStr">
        <is>
          <t>THE ANSWER</t>
        </is>
      </c>
      <c r="C6" s="5" t="n"/>
      <c r="D6" s="5" t="n"/>
      <c r="E6" s="5" t="n"/>
    </row>
    <row r="7">
      <c r="B7" s="6" t="inlineStr">
        <is>
          <t>Two streams: assessment packs + talent-DB. The 3-year number is channel-led (partner portfolio ~76%, direct ~24%). Biggest swing: the channel attach scalar, then price and tests/account.</t>
        </is>
      </c>
      <c r="C7" s="7" t="n"/>
      <c r="D7" s="7" t="n"/>
      <c r="E7" s="7" t="n"/>
    </row>
    <row r="8">
      <c r="B8" s="7" t="n"/>
      <c r="C8" s="7" t="n"/>
      <c r="D8" s="7" t="n"/>
      <c r="E8" s="7" t="n"/>
    </row>
    <row r="10">
      <c r="B10" s="8" t="inlineStr">
        <is>
          <t>FULL OPPORTUNITY</t>
        </is>
      </c>
      <c r="C10" s="8" t="inlineStr">
        <is>
          <t>SERVICEABLE TODAY</t>
        </is>
      </c>
      <c r="D10" s="8" t="inlineStr">
        <is>
          <t>3-YEAR REACHABLE</t>
        </is>
      </c>
    </row>
    <row r="11">
      <c r="B11" s="9">
        <f>Build!$F$22</f>
        <v/>
      </c>
      <c r="C11" s="10">
        <f>Build!$F$23</f>
        <v/>
      </c>
      <c r="D11" s="10">
        <f>Build!$F$24</f>
        <v/>
      </c>
    </row>
    <row r="12">
      <c r="B12" s="3" t="inlineStr">
        <is>
          <t>All geos, full ACV</t>
        </is>
      </c>
      <c r="C12" s="3" t="inlineStr">
        <is>
          <t>Focus-6, addressable</t>
        </is>
      </c>
      <c r="D12" s="3" t="inlineStr">
        <is>
          <t>Channel + direct, 3-yr</t>
        </is>
      </c>
    </row>
    <row r="14">
      <c r="B14" s="11" t="inlineStr">
        <is>
          <t>3-year reachable - detail</t>
        </is>
      </c>
    </row>
    <row r="15">
      <c r="B15" s="12" t="inlineStr">
        <is>
          <t>Assessment packs</t>
        </is>
      </c>
      <c r="C15" s="13">
        <f>Build!$C$24</f>
        <v/>
      </c>
    </row>
    <row r="16">
      <c r="B16" s="12" t="inlineStr">
        <is>
          <t>Talent-DB</t>
        </is>
      </c>
      <c r="C16" s="13">
        <f>Build!$E$24</f>
        <v/>
      </c>
    </row>
    <row r="17">
      <c r="B17" s="12" t="inlineStr">
        <is>
          <t>Total</t>
        </is>
      </c>
      <c r="C17" s="13">
        <f>Build!$F$24</f>
        <v/>
      </c>
    </row>
    <row r="18">
      <c r="B18" s="3" t="inlineStr">
        <is>
          <t xml:space="preserve">  Channel</t>
        </is>
      </c>
      <c r="C18" s="13">
        <f>Build!$F$16</f>
        <v/>
      </c>
    </row>
    <row r="19">
      <c r="B19" s="3" t="inlineStr">
        <is>
          <t xml:space="preserve">  Direct</t>
        </is>
      </c>
      <c r="C19" s="13">
        <f>Build!$F$17</f>
        <v/>
      </c>
    </row>
    <row r="21">
      <c r="B21" s="11" t="inlineStr">
        <is>
          <t>Scenario levers (edit on Assumptions)</t>
        </is>
      </c>
    </row>
    <row r="22">
      <c r="B22" s="12" t="inlineStr">
        <is>
          <t>Market breadth</t>
        </is>
      </c>
      <c r="C22" s="14">
        <f>Assumptions!$C$33</f>
        <v/>
      </c>
    </row>
    <row r="23">
      <c r="B23" s="12" t="inlineStr">
        <is>
          <t>Attach scalar</t>
        </is>
      </c>
      <c r="C23" s="15">
        <f>Assumptions!$C$64</f>
        <v/>
      </c>
    </row>
    <row r="25">
      <c r="B25" s="16" t="inlineStr">
        <is>
          <t>Blue cells are inputs; black cells are formulas.</t>
        </is>
      </c>
    </row>
    <row r="26">
      <c r="B26" s="16" t="inlineStr">
        <is>
          <t>Breadth toggle (1 engineers / 2 some white-collar / 3 all white-collar) scales the buyer universe.</t>
        </is>
      </c>
    </row>
    <row r="27">
      <c r="B27" s="16" t="inlineStr">
        <is>
          <t>Channel is a partner portfolio (Assumptions sec.4); each partner can be switched on or off.</t>
        </is>
      </c>
    </row>
    <row r="29">
      <c r="B29" s="17" t="inlineStr">
        <is>
          <t>Input (editable)</t>
        </is>
      </c>
      <c r="C29" s="12" t="inlineStr">
        <is>
          <t>Formula</t>
        </is>
      </c>
    </row>
  </sheetData>
  <mergeCells count="4">
    <mergeCell ref="B26:E26"/>
    <mergeCell ref="B25:E25"/>
    <mergeCell ref="B7:E8"/>
    <mergeCell ref="B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7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3" customWidth="1" min="3" max="3"/>
    <col width="11" customWidth="1" min="4" max="4"/>
    <col width="9" customWidth="1" min="5" max="5"/>
    <col width="50" customWidth="1" min="6" max="6"/>
    <col width="12" customWidth="1" min="7" max="7"/>
    <col width="7" customWidth="1" min="8" max="8"/>
  </cols>
  <sheetData>
    <row r="1">
      <c r="B1" s="18" t="inlineStr">
        <is>
          <t>INVIRTUS  -  Assumptions</t>
        </is>
      </c>
    </row>
    <row r="2">
      <c r="B2" s="19" t="inlineStr">
        <is>
          <t>Blue = editable input. Black = formula. Col E = source key (Sources tab). USD.</t>
        </is>
      </c>
    </row>
    <row r="4">
      <c r="B4" s="20" t="inlineStr">
        <is>
          <t>Driver</t>
        </is>
      </c>
      <c r="C4" s="20" t="inlineStr">
        <is>
          <t>Value</t>
        </is>
      </c>
      <c r="D4" s="20" t="inlineStr">
        <is>
          <t>Unit</t>
        </is>
      </c>
      <c r="E4" s="20" t="inlineStr">
        <is>
          <t>Src</t>
        </is>
      </c>
      <c r="F4" s="20" t="inlineStr">
        <is>
          <t>Note</t>
        </is>
      </c>
    </row>
    <row r="5" ht="18" customHeight="1">
      <c r="B5" s="4" t="inlineStr">
        <is>
          <t>1.  Addressable buyers  (researched)</t>
        </is>
      </c>
      <c r="C5" s="5" t="n"/>
      <c r="D5" s="5" t="n"/>
      <c r="E5" s="5" t="n"/>
      <c r="F5" s="5" t="n"/>
    </row>
    <row r="6">
      <c r="B6" s="20" t="inlineStr">
        <is>
          <t>Tech recruiting agencies</t>
        </is>
      </c>
      <c r="C6" s="21" t="n"/>
      <c r="D6" s="21" t="n"/>
      <c r="E6" s="21" t="n"/>
      <c r="F6" s="21" t="n"/>
    </row>
    <row r="7">
      <c r="B7" s="16" t="inlineStr">
        <is>
          <t xml:space="preserve">   France</t>
        </is>
      </c>
      <c r="C7" s="22" t="n">
        <v>500</v>
      </c>
      <c r="D7" s="23" t="inlineStr">
        <is>
          <t>firms</t>
        </is>
      </c>
      <c r="E7" s="24" t="inlineStr">
        <is>
          <t>S1</t>
        </is>
      </c>
      <c r="F7" s="23" t="inlineStr"/>
    </row>
    <row r="8">
      <c r="B8" s="16" t="inlineStr">
        <is>
          <t xml:space="preserve">   UK</t>
        </is>
      </c>
      <c r="C8" s="22" t="n">
        <v>3500</v>
      </c>
      <c r="D8" s="23" t="inlineStr">
        <is>
          <t>firms</t>
        </is>
      </c>
      <c r="E8" s="24" t="inlineStr">
        <is>
          <t>S2</t>
        </is>
      </c>
      <c r="F8" s="23" t="inlineStr"/>
    </row>
    <row r="9">
      <c r="B9" s="16" t="inlineStr">
        <is>
          <t xml:space="preserve">   UAE</t>
        </is>
      </c>
      <c r="C9" s="22" t="n">
        <v>100</v>
      </c>
      <c r="D9" s="23" t="inlineStr">
        <is>
          <t>firms</t>
        </is>
      </c>
      <c r="E9" s="24" t="inlineStr">
        <is>
          <t>S3</t>
        </is>
      </c>
      <c r="F9" s="23" t="inlineStr"/>
    </row>
    <row r="10">
      <c r="B10" s="16" t="inlineStr">
        <is>
          <t xml:space="preserve">   Morocco</t>
        </is>
      </c>
      <c r="C10" s="22" t="n">
        <v>45</v>
      </c>
      <c r="D10" s="23" t="inlineStr">
        <is>
          <t>firms</t>
        </is>
      </c>
      <c r="E10" s="24" t="inlineStr">
        <is>
          <t>S4</t>
        </is>
      </c>
      <c r="F10" s="23" t="inlineStr"/>
    </row>
    <row r="11">
      <c r="B11" s="16" t="inlineStr">
        <is>
          <t xml:space="preserve">   KSA</t>
        </is>
      </c>
      <c r="C11" s="22" t="n">
        <v>50</v>
      </c>
      <c r="D11" s="23" t="inlineStr">
        <is>
          <t>firms</t>
        </is>
      </c>
      <c r="E11" s="24" t="inlineStr">
        <is>
          <t>S5</t>
        </is>
      </c>
      <c r="F11" s="23" t="inlineStr"/>
    </row>
    <row r="12">
      <c r="B12" s="16" t="inlineStr">
        <is>
          <t xml:space="preserve">   Egypt</t>
        </is>
      </c>
      <c r="C12" s="22" t="n">
        <v>60</v>
      </c>
      <c r="D12" s="23" t="inlineStr">
        <is>
          <t>firms</t>
        </is>
      </c>
      <c r="E12" s="24" t="inlineStr">
        <is>
          <t>S6</t>
        </is>
      </c>
      <c r="F12" s="23" t="inlineStr"/>
    </row>
    <row r="13">
      <c r="B13" s="20" t="inlineStr">
        <is>
          <t>Engineering-heavy firms</t>
        </is>
      </c>
      <c r="C13" s="21" t="n"/>
      <c r="D13" s="21" t="n"/>
      <c r="E13" s="21" t="n"/>
      <c r="F13" s="21" t="n"/>
    </row>
    <row r="14">
      <c r="B14" s="16" t="inlineStr">
        <is>
          <t xml:space="preserve">   France</t>
        </is>
      </c>
      <c r="C14" s="22" t="n">
        <v>95000</v>
      </c>
      <c r="D14" s="23" t="inlineStr">
        <is>
          <t>firms</t>
        </is>
      </c>
      <c r="E14" s="24" t="inlineStr">
        <is>
          <t>S1</t>
        </is>
      </c>
      <c r="F14" s="23" t="inlineStr"/>
    </row>
    <row r="15">
      <c r="B15" s="16" t="inlineStr">
        <is>
          <t xml:space="preserve">   UK</t>
        </is>
      </c>
      <c r="C15" s="22" t="n">
        <v>107000</v>
      </c>
      <c r="D15" s="23" t="inlineStr">
        <is>
          <t>firms</t>
        </is>
      </c>
      <c r="E15" s="24" t="inlineStr">
        <is>
          <t>S2</t>
        </is>
      </c>
      <c r="F15" s="23" t="inlineStr"/>
    </row>
    <row r="16">
      <c r="B16" s="16" t="inlineStr">
        <is>
          <t xml:space="preserve">   UAE</t>
        </is>
      </c>
      <c r="C16" s="22" t="n">
        <v>5000</v>
      </c>
      <c r="D16" s="23" t="inlineStr">
        <is>
          <t>firms</t>
        </is>
      </c>
      <c r="E16" s="24" t="inlineStr">
        <is>
          <t>S3</t>
        </is>
      </c>
      <c r="F16" s="23" t="inlineStr"/>
    </row>
    <row r="17">
      <c r="B17" s="16" t="inlineStr">
        <is>
          <t xml:space="preserve">   Morocco</t>
        </is>
      </c>
      <c r="C17" s="22" t="n">
        <v>2000</v>
      </c>
      <c r="D17" s="23" t="inlineStr">
        <is>
          <t>firms</t>
        </is>
      </c>
      <c r="E17" s="24" t="inlineStr">
        <is>
          <t>S4</t>
        </is>
      </c>
      <c r="F17" s="23" t="inlineStr"/>
    </row>
    <row r="18">
      <c r="B18" s="16" t="inlineStr">
        <is>
          <t xml:space="preserve">   KSA</t>
        </is>
      </c>
      <c r="C18" s="22" t="n">
        <v>1800</v>
      </c>
      <c r="D18" s="23" t="inlineStr">
        <is>
          <t>firms</t>
        </is>
      </c>
      <c r="E18" s="24" t="inlineStr">
        <is>
          <t>S5</t>
        </is>
      </c>
      <c r="F18" s="23" t="inlineStr"/>
    </row>
    <row r="19">
      <c r="B19" s="16" t="inlineStr">
        <is>
          <t xml:space="preserve">   Egypt</t>
        </is>
      </c>
      <c r="C19" s="22" t="n">
        <v>2500</v>
      </c>
      <c r="D19" s="23" t="inlineStr">
        <is>
          <t>firms</t>
        </is>
      </c>
      <c r="E19" s="24" t="inlineStr">
        <is>
          <t>S6</t>
        </is>
      </c>
      <c r="F19" s="23" t="inlineStr"/>
    </row>
    <row r="20">
      <c r="B20" s="20" t="inlineStr">
        <is>
          <t>Mid-size firms (50-250)</t>
        </is>
      </c>
      <c r="C20" s="21" t="n"/>
      <c r="D20" s="21" t="n"/>
      <c r="E20" s="21" t="n"/>
      <c r="F20" s="21" t="n"/>
    </row>
    <row r="21">
      <c r="B21" s="16" t="inlineStr">
        <is>
          <t xml:space="preserve">   France</t>
        </is>
      </c>
      <c r="C21" s="22" t="n">
        <v>7300</v>
      </c>
      <c r="D21" s="23" t="inlineStr">
        <is>
          <t>firms</t>
        </is>
      </c>
      <c r="E21" s="24" t="inlineStr">
        <is>
          <t>S1</t>
        </is>
      </c>
      <c r="F21" s="23" t="inlineStr"/>
    </row>
    <row r="22">
      <c r="B22" s="16" t="inlineStr">
        <is>
          <t xml:space="preserve">   UK</t>
        </is>
      </c>
      <c r="C22" s="22" t="n">
        <v>13200</v>
      </c>
      <c r="D22" s="23" t="inlineStr">
        <is>
          <t>firms</t>
        </is>
      </c>
      <c r="E22" s="24" t="inlineStr">
        <is>
          <t>S2</t>
        </is>
      </c>
      <c r="F22" s="23" t="inlineStr"/>
    </row>
    <row r="23">
      <c r="B23" s="16" t="inlineStr">
        <is>
          <t xml:space="preserve">   UAE</t>
        </is>
      </c>
      <c r="C23" s="22" t="n">
        <v>2800</v>
      </c>
      <c r="D23" s="23" t="inlineStr">
        <is>
          <t>firms</t>
        </is>
      </c>
      <c r="E23" s="24" t="inlineStr">
        <is>
          <t>S3</t>
        </is>
      </c>
      <c r="F23" s="23" t="inlineStr"/>
    </row>
    <row r="24">
      <c r="B24" s="16" t="inlineStr">
        <is>
          <t xml:space="preserve">   Morocco</t>
        </is>
      </c>
      <c r="C24" s="22" t="n">
        <v>1250</v>
      </c>
      <c r="D24" s="23" t="inlineStr">
        <is>
          <t>firms</t>
        </is>
      </c>
      <c r="E24" s="24" t="inlineStr">
        <is>
          <t>S4</t>
        </is>
      </c>
      <c r="F24" s="23" t="inlineStr"/>
    </row>
    <row r="25">
      <c r="B25" s="16" t="inlineStr">
        <is>
          <t xml:space="preserve">   KSA</t>
        </is>
      </c>
      <c r="C25" s="22" t="n">
        <v>2600</v>
      </c>
      <c r="D25" s="23" t="inlineStr">
        <is>
          <t>firms</t>
        </is>
      </c>
      <c r="E25" s="24" t="inlineStr">
        <is>
          <t>S5</t>
        </is>
      </c>
      <c r="F25" s="23" t="inlineStr"/>
    </row>
    <row r="26">
      <c r="B26" s="16" t="inlineStr">
        <is>
          <t xml:space="preserve">   Egypt</t>
        </is>
      </c>
      <c r="C26" s="22" t="n">
        <v>2000</v>
      </c>
      <c r="D26" s="23" t="inlineStr">
        <is>
          <t>firms</t>
        </is>
      </c>
      <c r="E26" s="24" t="inlineStr">
        <is>
          <t>S6</t>
        </is>
      </c>
      <c r="F26" s="23" t="inlineStr"/>
    </row>
    <row r="27">
      <c r="B27" s="20" t="inlineStr">
        <is>
          <t>Focus-6 subtotal (calc)</t>
        </is>
      </c>
      <c r="C27" s="21" t="n"/>
      <c r="D27" s="21" t="n"/>
      <c r="E27" s="21" t="n"/>
      <c r="F27" s="21" t="n"/>
    </row>
    <row r="28">
      <c r="B28" s="16" t="inlineStr">
        <is>
          <t xml:space="preserve">   Agencies</t>
        </is>
      </c>
      <c r="C28" s="25">
        <f>(Assumptions!$C$7+Assumptions!$C$8+Assumptions!$C$9+Assumptions!$C$10+Assumptions!$C$11+Assumptions!$C$12)</f>
        <v/>
      </c>
      <c r="D28" s="23" t="inlineStr">
        <is>
          <t>firms</t>
        </is>
      </c>
      <c r="E28" s="24" t="inlineStr"/>
      <c r="F28" s="23" t="inlineStr"/>
    </row>
    <row r="29">
      <c r="B29" s="16" t="inlineStr">
        <is>
          <t xml:space="preserve">   Eng-heavy firms</t>
        </is>
      </c>
      <c r="C29" s="25">
        <f>(Assumptions!$C$14+Assumptions!$C$15+Assumptions!$C$16+Assumptions!$C$17+Assumptions!$C$18+Assumptions!$C$19)</f>
        <v/>
      </c>
      <c r="D29" s="23" t="inlineStr">
        <is>
          <t>firms</t>
        </is>
      </c>
      <c r="E29" s="24" t="inlineStr"/>
      <c r="F29" s="23" t="inlineStr"/>
    </row>
    <row r="30">
      <c r="B30" s="16" t="inlineStr">
        <is>
          <t xml:space="preserve">   Mid-size firms</t>
        </is>
      </c>
      <c r="C30" s="25">
        <f>(Assumptions!$C$21+Assumptions!$C$22+Assumptions!$C$23+Assumptions!$C$24+Assumptions!$C$25+Assumptions!$C$26)</f>
        <v/>
      </c>
      <c r="D30" s="23" t="inlineStr">
        <is>
          <t>firms</t>
        </is>
      </c>
      <c r="E30" s="24" t="inlineStr"/>
      <c r="F30" s="23" t="inlineStr"/>
    </row>
    <row r="31" ht="18" customHeight="1">
      <c r="B31" s="4" t="inlineStr">
        <is>
          <t>2.  Market breadth toggle</t>
        </is>
      </c>
      <c r="C31" s="5" t="n"/>
      <c r="D31" s="5" t="n"/>
      <c r="E31" s="5" t="n"/>
      <c r="F31" s="5" t="n"/>
    </row>
    <row r="32">
      <c r="B32" s="16" t="inlineStr">
        <is>
          <t>Active mode (1 / 2 / 3)</t>
        </is>
      </c>
      <c r="C32" s="26" t="n">
        <v>1</v>
      </c>
      <c r="D32" s="23" t="inlineStr">
        <is>
          <t>mode</t>
        </is>
      </c>
      <c r="E32" s="24" t="inlineStr"/>
      <c r="F32" s="23" t="inlineStr">
        <is>
          <t>1 engineers only, 2 some white-collar, 3 all white-collar.</t>
        </is>
      </c>
    </row>
    <row r="33">
      <c r="B33" s="16" t="inlineStr">
        <is>
          <t xml:space="preserve">   Active breadth</t>
        </is>
      </c>
      <c r="C33" s="27">
        <f>CHOOSE(Assumptions!$C$32,"1 Engineers only","2 Some white-collar","3 All white-collar")</f>
        <v/>
      </c>
      <c r="D33" s="23" t="inlineStr"/>
      <c r="E33" s="24" t="inlineStr"/>
      <c r="F33" s="23" t="inlineStr"/>
    </row>
    <row r="34">
      <c r="B34" s="11" t="inlineStr">
        <is>
          <t>Multiplier by segment</t>
        </is>
      </c>
      <c r="C34" s="24" t="inlineStr">
        <is>
          <t>1 Eng</t>
        </is>
      </c>
      <c r="D34" s="24" t="inlineStr">
        <is>
          <t>2 Some WC</t>
        </is>
      </c>
      <c r="E34" s="24" t="inlineStr">
        <is>
          <t>3 All WC</t>
        </is>
      </c>
      <c r="F34" s="3" t="inlineStr">
        <is>
          <t>Notes</t>
        </is>
      </c>
    </row>
    <row r="35">
      <c r="B35" s="12" t="inlineStr">
        <is>
          <t xml:space="preserve">   Agencies</t>
        </is>
      </c>
      <c r="C35" s="28" t="n">
        <v>1</v>
      </c>
      <c r="D35" s="28" t="n">
        <v>3</v>
      </c>
      <c r="E35" s="28" t="n">
        <v>7</v>
      </c>
      <c r="F35" s="3" t="inlineStr">
        <is>
          <t>Tech agencies are ~10-15% of all recruitment agencies.</t>
        </is>
      </c>
    </row>
    <row r="36">
      <c r="B36" s="12" t="inlineStr">
        <is>
          <t xml:space="preserve">   Eng-heavy firms</t>
        </is>
      </c>
      <c r="C36" s="28" t="n">
        <v>1</v>
      </c>
      <c r="D36" s="28" t="n">
        <v>2</v>
      </c>
      <c r="E36" s="28" t="n">
        <v>4</v>
      </c>
      <c r="F36" s="3" t="inlineStr">
        <is>
          <t>Tech firms to all firms with structured hiring.</t>
        </is>
      </c>
    </row>
    <row r="37">
      <c r="B37" s="12" t="inlineStr">
        <is>
          <t xml:space="preserve">   Mid-size firms</t>
        </is>
      </c>
      <c r="C37" s="28" t="n">
        <v>1</v>
      </c>
      <c r="D37" s="28" t="n">
        <v>1.8</v>
      </c>
      <c r="E37" s="28" t="n">
        <v>3</v>
      </c>
      <c r="F37" s="3" t="inlineStr">
        <is>
          <t>Engineer-hiring to all mid-size hirers.</t>
        </is>
      </c>
    </row>
    <row r="38">
      <c r="B38" s="20" t="inlineStr">
        <is>
          <t>Effective buyers (calc = subtotal x active multiplier)</t>
        </is>
      </c>
      <c r="C38" s="21" t="n"/>
      <c r="D38" s="21" t="n"/>
      <c r="E38" s="21" t="n"/>
      <c r="F38" s="21" t="n"/>
    </row>
    <row r="39">
      <c r="B39" s="16" t="inlineStr">
        <is>
          <t xml:space="preserve">   Agencies</t>
        </is>
      </c>
      <c r="C39" s="25">
        <f>Assumptions!$C$28*CHOOSE(Assumptions!$C$32,$C$35,$D$35,$E$35)</f>
        <v/>
      </c>
      <c r="D39" s="23" t="inlineStr">
        <is>
          <t>firms</t>
        </is>
      </c>
      <c r="E39" s="24" t="inlineStr"/>
      <c r="F39" s="23" t="inlineStr"/>
    </row>
    <row r="40">
      <c r="B40" s="16" t="inlineStr">
        <is>
          <t xml:space="preserve">   Eng-heavy firms</t>
        </is>
      </c>
      <c r="C40" s="25">
        <f>Assumptions!$C$29*CHOOSE(Assumptions!$C$32,$C$36,$D$36,$E$36)</f>
        <v/>
      </c>
      <c r="D40" s="23" t="inlineStr">
        <is>
          <t>firms</t>
        </is>
      </c>
      <c r="E40" s="24" t="inlineStr"/>
      <c r="F40" s="23" t="inlineStr"/>
    </row>
    <row r="41">
      <c r="B41" s="16" t="inlineStr">
        <is>
          <t xml:space="preserve">   Mid-size firms</t>
        </is>
      </c>
      <c r="C41" s="25">
        <f>Assumptions!$C$30*CHOOSE(Assumptions!$C$32,$C$37,$D$37,$E$37)</f>
        <v/>
      </c>
      <c r="D41" s="23" t="inlineStr">
        <is>
          <t>firms</t>
        </is>
      </c>
      <c r="E41" s="24" t="inlineStr"/>
      <c r="F41" s="23" t="inlineStr"/>
    </row>
    <row r="42" ht="18" customHeight="1">
      <c r="B42" s="4" t="inlineStr">
        <is>
          <t>3.  Value per account</t>
        </is>
      </c>
      <c r="C42" s="5" t="n"/>
      <c r="D42" s="5" t="n"/>
      <c r="E42" s="5" t="n"/>
      <c r="F42" s="5" t="n"/>
    </row>
    <row r="43">
      <c r="B43" s="16" t="inlineStr">
        <is>
          <t>Net price per test (blended)</t>
        </is>
      </c>
      <c r="C43" s="29" t="n">
        <v>12.22</v>
      </c>
      <c r="D43" s="23" t="inlineStr">
        <is>
          <t>$/test</t>
        </is>
      </c>
      <c r="E43" s="24" t="inlineStr">
        <is>
          <t>S7</t>
        </is>
      </c>
      <c r="F43" s="23" t="inlineStr">
        <is>
          <t>$14 PAYG less 10-20% pack discounts at the BP pack mix.</t>
        </is>
      </c>
    </row>
    <row r="44">
      <c r="B44" s="16" t="inlineStr">
        <is>
          <t>Agencies - % addressable</t>
        </is>
      </c>
      <c r="C44" s="30" t="n">
        <v>0.55</v>
      </c>
      <c r="D44" s="23" t="inlineStr">
        <is>
          <t>%</t>
        </is>
      </c>
      <c r="E44" s="24" t="inlineStr"/>
      <c r="F44" s="23" t="inlineStr">
        <is>
          <t>Core to agency workflow.</t>
        </is>
      </c>
    </row>
    <row r="45">
      <c r="B45" s="16" t="inlineStr">
        <is>
          <t>Eng-heavy firms - % addressable</t>
        </is>
      </c>
      <c r="C45" s="30" t="n">
        <v>0.15</v>
      </c>
      <c r="D45" s="23" t="inlineStr">
        <is>
          <t>%</t>
        </is>
      </c>
      <c r="E45" s="24" t="inlineStr"/>
      <c r="F45" s="23" t="inlineStr">
        <is>
          <t>Base skews micro; only volume hirers fit.</t>
        </is>
      </c>
    </row>
    <row r="46">
      <c r="B46" s="16" t="inlineStr">
        <is>
          <t>Mid-size firms - % addressable</t>
        </is>
      </c>
      <c r="C46" s="30" t="n">
        <v>0.25</v>
      </c>
      <c r="D46" s="23" t="inlineStr">
        <is>
          <t>%</t>
        </is>
      </c>
      <c r="E46" s="24" t="inlineStr"/>
      <c r="F46" s="23" t="inlineStr">
        <is>
          <t>Lower adoption; hire sporadically.</t>
        </is>
      </c>
    </row>
    <row r="47">
      <c r="B47" s="16" t="inlineStr">
        <is>
          <t xml:space="preserve">   Agencies - tests/account/yr</t>
        </is>
      </c>
      <c r="C47" s="22" t="n">
        <v>480</v>
      </c>
      <c r="D47" s="23" t="inlineStr">
        <is>
          <t>tests</t>
        </is>
      </c>
      <c r="E47" s="24" t="inlineStr"/>
      <c r="F47" s="23" t="inlineStr">
        <is>
          <t>~80 roles x 6 candidates.</t>
        </is>
      </c>
    </row>
    <row r="48">
      <c r="B48" s="16" t="inlineStr">
        <is>
          <t xml:space="preserve">   Eng-heavy firms - tests/account/yr</t>
        </is>
      </c>
      <c r="C48" s="22" t="n">
        <v>150</v>
      </c>
      <c r="D48" s="23" t="inlineStr">
        <is>
          <t>tests</t>
        </is>
      </c>
      <c r="E48" s="24" t="inlineStr"/>
      <c r="F48" s="23" t="inlineStr">
        <is>
          <t>~25 roles x 6 candidates.</t>
        </is>
      </c>
    </row>
    <row r="49">
      <c r="B49" s="16" t="inlineStr">
        <is>
          <t xml:space="preserve">   Mid-size firms - tests/account/yr</t>
        </is>
      </c>
      <c r="C49" s="22" t="n">
        <v>50</v>
      </c>
      <c r="D49" s="23" t="inlineStr">
        <is>
          <t>tests</t>
        </is>
      </c>
      <c r="E49" s="24" t="inlineStr"/>
      <c r="F49" s="23" t="inlineStr">
        <is>
          <t>~10 roles x 5 candidates.</t>
        </is>
      </c>
    </row>
    <row r="50">
      <c r="B50" s="16" t="inlineStr">
        <is>
          <t xml:space="preserve">   Channel account - tests/account/yr</t>
        </is>
      </c>
      <c r="C50" s="22" t="n">
        <v>200</v>
      </c>
      <c r="D50" s="23" t="inlineStr">
        <is>
          <t>tests</t>
        </is>
      </c>
      <c r="E50" s="24" t="inlineStr"/>
      <c r="F50" s="23" t="inlineStr">
        <is>
          <t>~40 roles x 5 candidates.</t>
        </is>
      </c>
    </row>
    <row r="51">
      <c r="B51" s="16" t="inlineStr">
        <is>
          <t xml:space="preserve">   Agencies - ACV/account/yr</t>
        </is>
      </c>
      <c r="C51" s="25">
        <f>Assumptions!$C$47*Assumptions!$C$43</f>
        <v/>
      </c>
      <c r="D51" s="23" t="inlineStr">
        <is>
          <t>$/yr</t>
        </is>
      </c>
      <c r="E51" s="24" t="inlineStr"/>
      <c r="F51" s="23" t="inlineStr"/>
    </row>
    <row r="52">
      <c r="B52" s="16" t="inlineStr">
        <is>
          <t xml:space="preserve">   Eng-heavy firms - ACV/account/yr</t>
        </is>
      </c>
      <c r="C52" s="25">
        <f>Assumptions!$C$48*Assumptions!$C$43</f>
        <v/>
      </c>
      <c r="D52" s="23" t="inlineStr">
        <is>
          <t>$/yr</t>
        </is>
      </c>
      <c r="E52" s="24" t="inlineStr"/>
      <c r="F52" s="23" t="inlineStr"/>
    </row>
    <row r="53">
      <c r="B53" s="16" t="inlineStr">
        <is>
          <t xml:space="preserve">   Mid-size firms - ACV/account/yr</t>
        </is>
      </c>
      <c r="C53" s="25">
        <f>Assumptions!$C$49*Assumptions!$C$43</f>
        <v/>
      </c>
      <c r="D53" s="23" t="inlineStr">
        <is>
          <t>$/yr</t>
        </is>
      </c>
      <c r="E53" s="24" t="inlineStr"/>
      <c r="F53" s="23" t="inlineStr"/>
    </row>
    <row r="54">
      <c r="B54" s="16" t="inlineStr">
        <is>
          <t xml:space="preserve">   Channel account - ACV/account/yr</t>
        </is>
      </c>
      <c r="C54" s="25">
        <f>Assumptions!$C$50*Assumptions!$C$43</f>
        <v/>
      </c>
      <c r="D54" s="23" t="inlineStr">
        <is>
          <t>$/yr</t>
        </is>
      </c>
      <c r="E54" s="24" t="inlineStr"/>
      <c r="F54" s="23" t="inlineStr"/>
    </row>
    <row r="55" ht="18" customHeight="1">
      <c r="B55" s="4" t="inlineStr">
        <is>
          <t>4.  Channel: partner distribution portfolio</t>
        </is>
      </c>
      <c r="C55" s="5" t="n"/>
      <c r="D55" s="5" t="n"/>
      <c r="E55" s="5" t="n"/>
      <c r="F55" s="5" t="n"/>
    </row>
    <row r="56">
      <c r="B56" s="11" t="inlineStr">
        <is>
          <t>Partner  (On=1 to include)</t>
        </is>
      </c>
      <c r="C56" s="24" t="inlineStr">
        <is>
          <t>On</t>
        </is>
      </c>
      <c r="D56" s="24" t="inlineStr">
        <is>
          <t>Clients</t>
        </is>
      </c>
      <c r="E56" s="24" t="inlineStr">
        <is>
          <t>ICP%</t>
        </is>
      </c>
      <c r="F56" s="24" t="inlineStr">
        <is>
          <t>Attach</t>
        </is>
      </c>
      <c r="G56" s="24" t="inlineStr">
        <is>
          <t>Accounts</t>
        </is>
      </c>
    </row>
    <row r="57">
      <c r="B57" s="12" t="inlineStr">
        <is>
          <t>Manatal (ATS, live)</t>
        </is>
      </c>
      <c r="C57" s="31" t="n">
        <v>1</v>
      </c>
      <c r="D57" s="22" t="n">
        <v>10000</v>
      </c>
      <c r="E57" s="32" t="n">
        <v>0.45</v>
      </c>
      <c r="F57" s="30" t="n">
        <v>0.08</v>
      </c>
      <c r="G57" s="33">
        <f>C57*D57*E57*F57</f>
        <v/>
      </c>
      <c r="H57" s="24" t="inlineStr">
        <is>
          <t>S8</t>
        </is>
      </c>
    </row>
    <row r="58">
      <c r="B58" s="12" t="inlineStr">
        <is>
          <t>Socium (2nd ATS, exploring)</t>
        </is>
      </c>
      <c r="C58" s="31" t="n">
        <v>1</v>
      </c>
      <c r="D58" s="22" t="n">
        <v>3000</v>
      </c>
      <c r="E58" s="32" t="n">
        <v>0.45</v>
      </c>
      <c r="F58" s="30" t="n">
        <v>0.05</v>
      </c>
      <c r="G58" s="33">
        <f>C58*D58*E58*F58</f>
        <v/>
      </c>
      <c r="H58" s="24" t="inlineStr">
        <is>
          <t>S9</t>
        </is>
      </c>
    </row>
    <row r="59">
      <c r="B59" s="12" t="inlineStr">
        <is>
          <t>Other HR-tech / ATS players</t>
        </is>
      </c>
      <c r="C59" s="31" t="n">
        <v>1</v>
      </c>
      <c r="D59" s="22" t="n">
        <v>15000</v>
      </c>
      <c r="E59" s="32" t="n">
        <v>0.35</v>
      </c>
      <c r="F59" s="30" t="n">
        <v>0.03</v>
      </c>
      <c r="G59" s="33">
        <f>C59*D59*E59*F59</f>
        <v/>
      </c>
      <c r="H59" s="24" t="inlineStr"/>
    </row>
    <row r="60">
      <c r="B60" s="12" t="inlineStr">
        <is>
          <t>Staffing-firm networks</t>
        </is>
      </c>
      <c r="C60" s="31" t="n">
        <v>1</v>
      </c>
      <c r="D60" s="22" t="n">
        <v>5000</v>
      </c>
      <c r="E60" s="32" t="n">
        <v>0.6</v>
      </c>
      <c r="F60" s="30" t="n">
        <v>0.04</v>
      </c>
      <c r="G60" s="33">
        <f>C60*D60*E60*F60</f>
        <v/>
      </c>
      <c r="H60" s="24" t="inlineStr"/>
    </row>
    <row r="61">
      <c r="B61" s="12" t="inlineStr">
        <is>
          <t>HR consultancies</t>
        </is>
      </c>
      <c r="C61" s="31" t="n">
        <v>1</v>
      </c>
      <c r="D61" s="22" t="n">
        <v>3000</v>
      </c>
      <c r="E61" s="32" t="n">
        <v>0.5</v>
      </c>
      <c r="F61" s="30" t="n">
        <v>0.04</v>
      </c>
      <c r="G61" s="33">
        <f>C61*D61*E61*F61</f>
        <v/>
      </c>
      <c r="H61" s="24" t="inlineStr"/>
    </row>
    <row r="62">
      <c r="B62" s="12" t="inlineStr">
        <is>
          <t>System integrators</t>
        </is>
      </c>
      <c r="C62" s="31" t="n">
        <v>1</v>
      </c>
      <c r="D62" s="22" t="n">
        <v>2000</v>
      </c>
      <c r="E62" s="32" t="n">
        <v>0.4</v>
      </c>
      <c r="F62" s="30" t="n">
        <v>0.03</v>
      </c>
      <c r="G62" s="33">
        <f>C62*D62*E62*F62</f>
        <v/>
      </c>
      <c r="H62" s="24" t="inlineStr"/>
    </row>
    <row r="63">
      <c r="B63" s="14" t="inlineStr">
        <is>
          <t>Channel base accounts (yr 3)</t>
        </is>
      </c>
      <c r="G63" s="34">
        <f>SUM(G57:G62)</f>
        <v/>
      </c>
    </row>
    <row r="64">
      <c r="B64" s="16" t="inlineStr">
        <is>
          <t>Attach scalar (sensitivity handle)</t>
        </is>
      </c>
      <c r="C64" s="35" t="n">
        <v>1</v>
      </c>
      <c r="D64" s="23" t="inlineStr">
        <is>
          <t>x</t>
        </is>
      </c>
      <c r="E64" s="24" t="inlineStr"/>
      <c r="F64" s="23" t="inlineStr">
        <is>
          <t>Multiplier on all partner attach rates.</t>
        </is>
      </c>
    </row>
    <row r="65" ht="18" customHeight="1">
      <c r="B65" s="4" t="inlineStr">
        <is>
          <t>5.  Direct capture &amp; reachability</t>
        </is>
      </c>
      <c r="C65" s="5" t="n"/>
      <c r="D65" s="5" t="n"/>
      <c r="E65" s="5" t="n"/>
      <c r="F65" s="5" t="n"/>
    </row>
    <row r="66">
      <c r="B66" s="16" t="inlineStr">
        <is>
          <t>Direct 3-yr penetration of serviceable</t>
        </is>
      </c>
      <c r="C66" s="30" t="n">
        <v>0.008</v>
      </c>
      <c r="D66" s="23" t="inlineStr">
        <is>
          <t>%</t>
        </is>
      </c>
      <c r="E66" s="24" t="inlineStr"/>
      <c r="F66" s="23" t="inlineStr">
        <is>
          <t>Thin slice; low trial-to-paid.</t>
        </is>
      </c>
    </row>
    <row r="67">
      <c r="B67" s="16" t="inlineStr">
        <is>
          <t>Steady-state retention</t>
        </is>
      </c>
      <c r="C67" s="30" t="n">
        <v>0.9</v>
      </c>
      <c r="D67" s="23" t="inlineStr">
        <is>
          <t>%</t>
        </is>
      </c>
      <c r="E67" s="24" t="inlineStr">
        <is>
          <t>S8</t>
        </is>
      </c>
      <c r="F67" s="23" t="inlineStr">
        <is>
          <t>BP uses 7% churn; 100% to date on a tiny base.</t>
        </is>
      </c>
    </row>
    <row r="68">
      <c r="B68" s="16" t="inlineStr">
        <is>
          <t>Focus-6 share of global</t>
        </is>
      </c>
      <c r="C68" s="30" t="n">
        <v>0.12</v>
      </c>
      <c r="D68" s="23" t="inlineStr">
        <is>
          <t>%</t>
        </is>
      </c>
      <c r="E68" s="24" t="inlineStr"/>
      <c r="F68" s="23" t="inlineStr">
        <is>
          <t>Grosses serviceable up to the full opportunity.</t>
        </is>
      </c>
    </row>
    <row r="69" ht="18" customHeight="1">
      <c r="B69" s="4" t="inlineStr">
        <is>
          <t>6.  Talent-DB stream  (2nd revenue stream)</t>
        </is>
      </c>
      <c r="C69" s="5" t="n"/>
      <c r="D69" s="5" t="n"/>
      <c r="E69" s="5" t="n"/>
      <c r="F69" s="5" t="n"/>
    </row>
    <row r="70">
      <c r="B70" s="16" t="inlineStr">
        <is>
          <t>Profiles sourced from own DB (mature)</t>
        </is>
      </c>
      <c r="C70" s="30" t="n">
        <v>0.3</v>
      </c>
      <c r="D70" s="23" t="inlineStr">
        <is>
          <t>%</t>
        </is>
      </c>
      <c r="E70" s="24" t="inlineStr">
        <is>
          <t>S7</t>
        </is>
      </c>
      <c r="F70" s="23" t="inlineStr">
        <is>
          <t>BP ramps 1% to 50%. Profiles = tests x this %.</t>
        </is>
      </c>
    </row>
    <row r="71">
      <c r="B71" s="16" t="inlineStr">
        <is>
          <t>Price per sourced profile</t>
        </is>
      </c>
      <c r="C71" s="22" t="n">
        <v>30</v>
      </c>
      <c r="D71" s="23" t="inlineStr">
        <is>
          <t>$</t>
        </is>
      </c>
      <c r="E71" s="24" t="inlineStr">
        <is>
          <t>S7</t>
        </is>
      </c>
      <c r="F71" s="23" t="inlineStr">
        <is>
          <t>$30 per profile (BP).</t>
        </is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13" customWidth="1" min="4" max="4"/>
    <col width="13" customWidth="1" min="5" max="5"/>
    <col width="16" customWidth="1" min="6" max="6"/>
  </cols>
  <sheetData>
    <row r="1">
      <c r="B1" s="18" t="inlineStr">
        <is>
          <t>INVIRTUS  -  Revenue potential build</t>
        </is>
      </c>
    </row>
    <row r="2">
      <c r="B2" s="19" t="inlineStr">
        <is>
          <t>Buyers x % addressable x ACV. Two streams. USD. Drivers live on Assumptions.</t>
        </is>
      </c>
    </row>
    <row r="4">
      <c r="B4" s="4" t="inlineStr">
        <is>
          <t>A.  Serviceable today  (focus-6)</t>
        </is>
      </c>
      <c r="C4" s="5" t="n"/>
      <c r="D4" s="5" t="n"/>
      <c r="E4" s="5" t="n"/>
      <c r="F4" s="5" t="n"/>
    </row>
    <row r="5">
      <c r="B5" s="36" t="inlineStr">
        <is>
          <t>Segment</t>
        </is>
      </c>
      <c r="C5" s="36" t="inlineStr">
        <is>
          <t>Buyers (eff.)</t>
        </is>
      </c>
      <c r="D5" s="36" t="inlineStr">
        <is>
          <t>% addressable</t>
        </is>
      </c>
      <c r="E5" s="36" t="inlineStr">
        <is>
          <t>ACV/acct</t>
        </is>
      </c>
      <c r="F5" s="36" t="inlineStr">
        <is>
          <t>Revenue ($/yr)</t>
        </is>
      </c>
    </row>
    <row r="6">
      <c r="B6" s="12" t="inlineStr">
        <is>
          <t>Tech recruiting agencies</t>
        </is>
      </c>
      <c r="C6" s="33">
        <f>Assumptions!$C$39</f>
        <v/>
      </c>
      <c r="D6" s="37">
        <f>Assumptions!$C$44</f>
        <v/>
      </c>
      <c r="E6" s="33">
        <f>Assumptions!$C$51</f>
        <v/>
      </c>
      <c r="F6" s="33">
        <f>C6*D6*E6</f>
        <v/>
      </c>
    </row>
    <row r="7">
      <c r="B7" s="12" t="inlineStr">
        <is>
          <t>Engineering-heavy firms</t>
        </is>
      </c>
      <c r="C7" s="33">
        <f>Assumptions!$C$40</f>
        <v/>
      </c>
      <c r="D7" s="37">
        <f>Assumptions!$C$45</f>
        <v/>
      </c>
      <c r="E7" s="33">
        <f>Assumptions!$C$52</f>
        <v/>
      </c>
      <c r="F7" s="33">
        <f>C7*D7*E7</f>
        <v/>
      </c>
    </row>
    <row r="8">
      <c r="B8" s="12" t="inlineStr">
        <is>
          <t>Mid-size firms</t>
        </is>
      </c>
      <c r="C8" s="33">
        <f>Assumptions!$C$41</f>
        <v/>
      </c>
      <c r="D8" s="37">
        <f>Assumptions!$C$46</f>
        <v/>
      </c>
      <c r="E8" s="33">
        <f>Assumptions!$C$53</f>
        <v/>
      </c>
      <c r="F8" s="33">
        <f>C8*D8*E8</f>
        <v/>
      </c>
    </row>
    <row r="9">
      <c r="B9" s="14" t="inlineStr">
        <is>
          <t>Serviceable today (assessments)</t>
        </is>
      </c>
      <c r="F9" s="34">
        <f>SUM(F6:F8)</f>
        <v/>
      </c>
    </row>
    <row r="11">
      <c r="B11" s="4" t="inlineStr">
        <is>
          <t>B.  Full opportunity  (all geos)</t>
        </is>
      </c>
      <c r="C11" s="5" t="n"/>
      <c r="D11" s="5" t="n"/>
      <c r="E11" s="5" t="n"/>
      <c r="F11" s="5" t="n"/>
    </row>
    <row r="12">
      <c r="B12" s="12" t="inlineStr">
        <is>
          <t>Serviceable / focus-6 share of global</t>
        </is>
      </c>
      <c r="F12" s="38">
        <f>Build!$F$9/Assumptions!$C$68</f>
        <v/>
      </c>
    </row>
    <row r="14">
      <c r="B14" s="4" t="inlineStr">
        <is>
          <t>C.  3-year reachable  (channel + direct)</t>
        </is>
      </c>
      <c r="C14" s="5" t="n"/>
      <c r="D14" s="5" t="n"/>
      <c r="E14" s="5" t="n"/>
      <c r="F14" s="5" t="n"/>
    </row>
    <row r="15">
      <c r="B15" s="12" t="inlineStr">
        <is>
          <t>Channel: accounts x attach scalar</t>
        </is>
      </c>
      <c r="F15" s="33">
        <f>Assumptions!$G$63*Assumptions!$C$64</f>
        <v/>
      </c>
    </row>
    <row r="16">
      <c r="B16" s="12" t="inlineStr">
        <is>
          <t>Channel revenue (ret-adj)</t>
        </is>
      </c>
      <c r="F16" s="33">
        <f>F15*Assumptions!$C$54*Assumptions!$C$67</f>
        <v/>
      </c>
    </row>
    <row r="17">
      <c r="B17" s="12" t="inlineStr">
        <is>
          <t>Direct revenue (pen. of serviceable, ret-adj)</t>
        </is>
      </c>
      <c r="F17" s="33">
        <f>Build!$F$9*Assumptions!$C$66*Assumptions!$C$67</f>
        <v/>
      </c>
    </row>
    <row r="18">
      <c r="B18" s="14" t="inlineStr">
        <is>
          <t>3-year reachable (assessments)</t>
        </is>
      </c>
      <c r="F18" s="34">
        <f>F16+F17</f>
        <v/>
      </c>
    </row>
    <row r="20">
      <c r="B20" s="4" t="inlineStr">
        <is>
          <t>D.  Revenue potential by stream</t>
        </is>
      </c>
      <c r="C20" s="5" t="n"/>
      <c r="D20" s="5" t="n"/>
      <c r="E20" s="5" t="n"/>
      <c r="F20" s="5" t="n"/>
    </row>
    <row r="21">
      <c r="B21" s="36" t="inlineStr">
        <is>
          <t>Tier</t>
        </is>
      </c>
      <c r="C21" s="36" t="inlineStr">
        <is>
          <t>Assessments</t>
        </is>
      </c>
      <c r="D21" s="36" t="inlineStr">
        <is>
          <t>Tests/yr</t>
        </is>
      </c>
      <c r="E21" s="36" t="inlineStr">
        <is>
          <t>Talent-DB</t>
        </is>
      </c>
      <c r="F21" s="36" t="inlineStr">
        <is>
          <t>Total ($/yr)</t>
        </is>
      </c>
    </row>
    <row r="22">
      <c r="B22" s="12" t="inlineStr">
        <is>
          <t>Full opportunity</t>
        </is>
      </c>
      <c r="C22" s="33">
        <f>Build!$F$12</f>
        <v/>
      </c>
      <c r="D22" s="33">
        <f>C22/Assumptions!$C$43</f>
        <v/>
      </c>
      <c r="E22" s="33">
        <f>D22*Assumptions!$C$70*Assumptions!$C$71</f>
        <v/>
      </c>
      <c r="F22" s="38">
        <f>C22+E22</f>
        <v/>
      </c>
    </row>
    <row r="23">
      <c r="B23" s="12" t="inlineStr">
        <is>
          <t>Serviceable today</t>
        </is>
      </c>
      <c r="C23" s="33">
        <f>Build!$F$9</f>
        <v/>
      </c>
      <c r="D23" s="33">
        <f>C23/Assumptions!$C$43</f>
        <v/>
      </c>
      <c r="E23" s="33">
        <f>D23*Assumptions!$C$70*Assumptions!$C$71</f>
        <v/>
      </c>
      <c r="F23" s="38">
        <f>C23+E23</f>
        <v/>
      </c>
    </row>
    <row r="24">
      <c r="B24" s="12" t="inlineStr">
        <is>
          <t>3-year reachable</t>
        </is>
      </c>
      <c r="C24" s="33">
        <f>Build!$F$18</f>
        <v/>
      </c>
      <c r="D24" s="33">
        <f>C24/Assumptions!$C$43</f>
        <v/>
      </c>
      <c r="E24" s="33">
        <f>D24*Assumptions!$C$70*Assumptions!$C$71</f>
        <v/>
      </c>
      <c r="F24" s="38">
        <f>C24+E24</f>
        <v/>
      </c>
    </row>
    <row r="26">
      <c r="B26" s="23" t="inlineStr">
        <is>
          <t>Agencies and the firms they serve are counted separately (no double count). Channel and direct may overlap a little; treated as additive.</t>
        </is>
      </c>
    </row>
  </sheetData>
  <mergeCells count="2">
    <mergeCell ref="B2:F2"/>
    <mergeCell ref="B26:F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</cols>
  <sheetData>
    <row r="2">
      <c r="B2" s="18" t="inlineStr">
        <is>
          <t>INVIRTUS  -  Sensitivity</t>
        </is>
      </c>
    </row>
    <row r="3">
      <c r="B3" s="19" t="inlineStr">
        <is>
          <t>3-year reachable (total) under low / base / high moves in each driver. Recomputed live from Assumptions.</t>
        </is>
      </c>
    </row>
    <row r="5">
      <c r="B5" s="36" t="inlineStr">
        <is>
          <t>Driver</t>
        </is>
      </c>
      <c r="C5" s="36" t="inlineStr">
        <is>
          <t>Low</t>
        </is>
      </c>
      <c r="D5" s="36" t="inlineStr">
        <is>
          <t>Base</t>
        </is>
      </c>
      <c r="E5" s="36" t="inlineStr">
        <is>
          <t>High</t>
        </is>
      </c>
    </row>
    <row r="6">
      <c r="B6" s="12" t="inlineStr">
        <is>
          <t>Channel attach scalar (0.5 / base / 1.5)</t>
        </is>
      </c>
      <c r="C6" s="39">
        <f>(Assumptions!$C$67*Assumptions!$C$43*(Assumptions!$G$63*0.5*Assumptions!$C$50+(Assumptions!$C$39*Assumptions!$C$44*Assumptions!$C$47+Assumptions!$C$40*Assumptions!$C$45*Assumptions!$C$48+Assumptions!$C$41*Assumptions!$C$46*Assumptions!$C$49)*Assumptions!$C$66))*(1+Assumptions!$C$70*Assumptions!$C$71/Assumptions!$C$43)</f>
        <v/>
      </c>
      <c r="D6" s="39">
        <f>(Assumptions!$C$67*Assumptions!$C$43*(Assumptions!$G$63*Assumptions!$C$64*Assumptions!$C$50+(Assumptions!$C$39*Assumptions!$C$44*Assumptions!$C$47+Assumptions!$C$40*Assumptions!$C$45*Assumptions!$C$48+Assumptions!$C$41*Assumptions!$C$46*Assumptions!$C$49)*Assumptions!$C$66))*(1+Assumptions!$C$70*Assumptions!$C$71/Assumptions!$C$43)</f>
        <v/>
      </c>
      <c r="E6" s="39">
        <f>(Assumptions!$C$67*Assumptions!$C$43*(Assumptions!$G$63*1.5*Assumptions!$C$50+(Assumptions!$C$39*Assumptions!$C$44*Assumptions!$C$47+Assumptions!$C$40*Assumptions!$C$45*Assumptions!$C$48+Assumptions!$C$41*Assumptions!$C$46*Assumptions!$C$49)*Assumptions!$C$66))*(1+Assumptions!$C$70*Assumptions!$C$71/Assumptions!$C$43)</f>
        <v/>
      </c>
    </row>
    <row r="7">
      <c r="B7" s="12" t="inlineStr">
        <is>
          <t>Net price per test ($9 / base / $15)</t>
        </is>
      </c>
      <c r="C7" s="39">
        <f>(Assumptions!$C$67*9*(Assumptions!$G$63*Assumptions!$C$64*Assumptions!$C$50+(Assumptions!$C$39*Assumptions!$C$44*Assumptions!$C$47+Assumptions!$C$40*Assumptions!$C$45*Assumptions!$C$48+Assumptions!$C$41*Assumptions!$C$46*Assumptions!$C$49)*Assumptions!$C$66))*(1+Assumptions!$C$70*Assumptions!$C$71/9)</f>
        <v/>
      </c>
      <c r="D7" s="39">
        <f>(Assumptions!$C$67*Assumptions!$C$43*(Assumptions!$G$63*Assumptions!$C$64*Assumptions!$C$50+(Assumptions!$C$39*Assumptions!$C$44*Assumptions!$C$47+Assumptions!$C$40*Assumptions!$C$45*Assumptions!$C$48+Assumptions!$C$41*Assumptions!$C$46*Assumptions!$C$49)*Assumptions!$C$66))*(1+Assumptions!$C$70*Assumptions!$C$71/Assumptions!$C$43)</f>
        <v/>
      </c>
      <c r="E7" s="39">
        <f>(Assumptions!$C$67*15*(Assumptions!$G$63*Assumptions!$C$64*Assumptions!$C$50+(Assumptions!$C$39*Assumptions!$C$44*Assumptions!$C$47+Assumptions!$C$40*Assumptions!$C$45*Assumptions!$C$48+Assumptions!$C$41*Assumptions!$C$46*Assumptions!$C$49)*Assumptions!$C$66))*(1+Assumptions!$C$70*Assumptions!$C$71/15)</f>
        <v/>
      </c>
    </row>
    <row r="8">
      <c r="B8" s="12" t="inlineStr">
        <is>
          <t>Channel tests/account (100 / base / 300)</t>
        </is>
      </c>
      <c r="C8" s="39">
        <f>(Assumptions!$C$67*Assumptions!$C$43*(Assumptions!$G$63*Assumptions!$C$64*100+(Assumptions!$C$39*Assumptions!$C$44*Assumptions!$C$47+Assumptions!$C$40*Assumptions!$C$45*Assumptions!$C$48+Assumptions!$C$41*Assumptions!$C$46*Assumptions!$C$49)*Assumptions!$C$66))*(1+Assumptions!$C$70*Assumptions!$C$71/Assumptions!$C$43)</f>
        <v/>
      </c>
      <c r="D8" s="39">
        <f>(Assumptions!$C$67*Assumptions!$C$43*(Assumptions!$G$63*Assumptions!$C$64*Assumptions!$C$50+(Assumptions!$C$39*Assumptions!$C$44*Assumptions!$C$47+Assumptions!$C$40*Assumptions!$C$45*Assumptions!$C$48+Assumptions!$C$41*Assumptions!$C$46*Assumptions!$C$49)*Assumptions!$C$66))*(1+Assumptions!$C$70*Assumptions!$C$71/Assumptions!$C$43)</f>
        <v/>
      </c>
      <c r="E8" s="39">
        <f>(Assumptions!$C$67*Assumptions!$C$43*(Assumptions!$G$63*Assumptions!$C$64*300+(Assumptions!$C$39*Assumptions!$C$44*Assumptions!$C$47+Assumptions!$C$40*Assumptions!$C$45*Assumptions!$C$48+Assumptions!$C$41*Assumptions!$C$46*Assumptions!$C$49)*Assumptions!$C$66))*(1+Assumptions!$C$70*Assumptions!$C$71/Assumptions!$C$43)</f>
        <v/>
      </c>
    </row>
    <row r="9">
      <c r="B9" s="12" t="inlineStr">
        <is>
          <t>Direct penetration (0.4% / base / 1.2%)</t>
        </is>
      </c>
      <c r="C9" s="39">
        <f>(Assumptions!$C$67*Assumptions!$C$43*(Assumptions!$G$63*Assumptions!$C$64*Assumptions!$C$50+(Assumptions!$C$39*Assumptions!$C$44*Assumptions!$C$47+Assumptions!$C$40*Assumptions!$C$45*Assumptions!$C$48+Assumptions!$C$41*Assumptions!$C$46*Assumptions!$C$49)*0.004))*(1+Assumptions!$C$70*Assumptions!$C$71/Assumptions!$C$43)</f>
        <v/>
      </c>
      <c r="D9" s="39">
        <f>(Assumptions!$C$67*Assumptions!$C$43*(Assumptions!$G$63*Assumptions!$C$64*Assumptions!$C$50+(Assumptions!$C$39*Assumptions!$C$44*Assumptions!$C$47+Assumptions!$C$40*Assumptions!$C$45*Assumptions!$C$48+Assumptions!$C$41*Assumptions!$C$46*Assumptions!$C$49)*Assumptions!$C$66))*(1+Assumptions!$C$70*Assumptions!$C$71/Assumptions!$C$43)</f>
        <v/>
      </c>
      <c r="E9" s="39">
        <f>(Assumptions!$C$67*Assumptions!$C$43*(Assumptions!$G$63*Assumptions!$C$64*Assumptions!$C$50+(Assumptions!$C$39*Assumptions!$C$44*Assumptions!$C$47+Assumptions!$C$40*Assumptions!$C$45*Assumptions!$C$48+Assumptions!$C$41*Assumptions!$C$46*Assumptions!$C$49)*0.012))*(1+Assumptions!$C$70*Assumptions!$C$71/Assumptions!$C$43)</f>
        <v/>
      </c>
    </row>
  </sheetData>
  <mergeCells count="1">
    <mergeCell ref="B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2" customWidth="1" min="3" max="3"/>
    <col width="30" customWidth="1" min="4" max="4"/>
    <col width="54" customWidth="1" min="5" max="5"/>
    <col width="12" customWidth="1" min="6" max="6"/>
    <col width="9" customWidth="1" min="7" max="7"/>
  </cols>
  <sheetData>
    <row r="2">
      <c r="B2" s="18" t="inlineStr">
        <is>
          <t>INVIRTUS  -  Sources</t>
        </is>
      </c>
    </row>
    <row r="3">
      <c r="B3" s="19" t="inlineStr">
        <is>
          <t>One row per researched input. Triangulated where official counts are absent.</t>
        </is>
      </c>
    </row>
    <row r="5">
      <c r="B5" s="36" t="inlineStr">
        <is>
          <t>Key</t>
        </is>
      </c>
      <c r="C5" s="36" t="inlineStr">
        <is>
          <t>Input</t>
        </is>
      </c>
      <c r="D5" s="36" t="inlineStr">
        <is>
          <t>Source</t>
        </is>
      </c>
      <c r="E5" s="36" t="inlineStr">
        <is>
          <t>URL</t>
        </is>
      </c>
      <c r="F5" s="36" t="inlineStr">
        <is>
          <t>Date</t>
        </is>
      </c>
      <c r="G5" s="36" t="inlineStr">
        <is>
          <t>Conf.</t>
        </is>
      </c>
    </row>
    <row r="6">
      <c r="B6" s="40" t="inlineStr">
        <is>
          <t>S1</t>
        </is>
      </c>
      <c r="C6" s="41" t="inlineStr">
        <is>
          <t>France: agencies &amp; firms</t>
        </is>
      </c>
      <c r="D6" s="41" t="inlineStr">
        <is>
          <t>INSEE SIRENE; Modeles de Business Plan</t>
        </is>
      </c>
      <c r="E6" s="42" t="inlineStr">
        <is>
          <t>public.opendatasoft.com/.../sirene-v3 ; modelesdebusinessplan.com</t>
        </is>
      </c>
      <c r="F6" s="43" t="inlineStr">
        <is>
          <t>2026-06-16</t>
        </is>
      </c>
      <c r="G6" s="43" t="inlineStr">
        <is>
          <t>High/Low</t>
        </is>
      </c>
    </row>
    <row r="7">
      <c r="B7" s="40" t="inlineStr">
        <is>
          <t>S2</t>
        </is>
      </c>
      <c r="C7" s="41" t="inlineStr">
        <is>
          <t>UK: agencies &amp; firms</t>
        </is>
      </c>
      <c r="D7" s="41" t="inlineStr">
        <is>
          <t>REC / IBISWorld; GOV.UK Digital &amp; Tech 2026</t>
        </is>
      </c>
      <c r="E7" s="42" t="inlineStr">
        <is>
          <t>rec.uk.com ; gov.uk/.../digital-and-technologies-sector-plan</t>
        </is>
      </c>
      <c r="F7" s="43" t="inlineStr">
        <is>
          <t>2026-06-16</t>
        </is>
      </c>
      <c r="G7" s="43" t="inlineStr">
        <is>
          <t>Med/High</t>
        </is>
      </c>
    </row>
    <row r="8">
      <c r="B8" s="40" t="inlineStr">
        <is>
          <t>S3</t>
        </is>
      </c>
      <c r="C8" s="41" t="inlineStr">
        <is>
          <t>UAE: agencies &amp; firms</t>
        </is>
      </c>
      <c r="D8" s="41" t="inlineStr">
        <is>
          <t>SIA; Lusha; DIC; MAGNiTT; Min. of Economy</t>
        </is>
      </c>
      <c r="E8" s="42" t="inlineStr">
        <is>
          <t>magnitt.com/en-ae/startups ; thenationalnews.com</t>
        </is>
      </c>
      <c r="F8" s="43" t="inlineStr">
        <is>
          <t>2026-06-16</t>
        </is>
      </c>
      <c r="G8" s="43" t="inlineStr">
        <is>
          <t>Med</t>
        </is>
      </c>
    </row>
    <row r="9">
      <c r="B9" s="40" t="inlineStr">
        <is>
          <t>S4</t>
        </is>
      </c>
      <c r="C9" s="41" t="inlineStr">
        <is>
          <t>Morocco: agencies &amp; firms</t>
        </is>
      </c>
      <c r="D9" s="41" t="inlineStr">
        <is>
          <t>EcoActu/MIEPEEC; OMTPME 2025; UM6P; APEBI</t>
        </is>
      </c>
      <c r="E9" s="42" t="inlineStr">
        <is>
          <t>ecoactu.ma ; lematin.ma</t>
        </is>
      </c>
      <c r="F9" s="43" t="inlineStr">
        <is>
          <t>2026-06-16</t>
        </is>
      </c>
      <c r="G9" s="43" t="inlineStr">
        <is>
          <t>Med/Low</t>
        </is>
      </c>
    </row>
    <row r="10">
      <c r="B10" s="40" t="inlineStr">
        <is>
          <t>S5</t>
        </is>
      </c>
      <c r="C10" s="41" t="inlineStr">
        <is>
          <t>KSA: agencies &amp; firms</t>
        </is>
      </c>
      <c r="D10" s="41" t="inlineStr">
        <is>
          <t>Monsha'at SME Monitor Q4'23; CST Manassa</t>
        </is>
      </c>
      <c r="E10" s="42" t="inlineStr">
        <is>
          <t>argaam.com/.../1709526 ; my.gov.sa/en/news/10102</t>
        </is>
      </c>
      <c r="F10" s="43" t="inlineStr">
        <is>
          <t>2026-06-16</t>
        </is>
      </c>
      <c r="G10" s="43" t="inlineStr">
        <is>
          <t>Med</t>
        </is>
      </c>
    </row>
    <row r="11">
      <c r="B11" s="40" t="inlineStr">
        <is>
          <t>S6</t>
        </is>
      </c>
      <c r="C11" s="41" t="inlineStr">
        <is>
          <t>Egypt: agencies &amp; firms</t>
        </is>
      </c>
      <c r="D11" s="41" t="inlineStr">
        <is>
          <t>CAPMAS Economic Census; ITIDA; MAGNiTT</t>
        </is>
      </c>
      <c r="E11" s="42" t="inlineStr">
        <is>
          <t>censusinfo.capmas.gov.eg ; itida.gov.eg</t>
        </is>
      </c>
      <c r="F11" s="43" t="inlineStr">
        <is>
          <t>2026-06-16</t>
        </is>
      </c>
      <c r="G11" s="43" t="inlineStr">
        <is>
          <t>Med/Low</t>
        </is>
      </c>
    </row>
    <row r="12">
      <c r="B12" s="40" t="inlineStr">
        <is>
          <t>S7</t>
        </is>
      </c>
      <c r="C12" s="41" t="inlineStr">
        <is>
          <t>Pricing &amp; DB ($14/test, packs, $30/profile)</t>
        </is>
      </c>
      <c r="D12" s="41" t="inlineStr">
        <is>
          <t>Invirtus finalized BP; TestGorilla/TestDome/Adaface</t>
        </is>
      </c>
      <c r="E12" s="42" t="inlineStr">
        <is>
          <t>Invirtus_business_plan.xlsx ; testgorilla.com/pricing</t>
        </is>
      </c>
      <c r="F12" s="43" t="inlineStr">
        <is>
          <t>2026-06-17</t>
        </is>
      </c>
      <c r="G12" s="43" t="inlineStr">
        <is>
          <t>High</t>
        </is>
      </c>
    </row>
    <row r="13">
      <c r="B13" s="40" t="inlineStr">
        <is>
          <t>S8</t>
        </is>
      </c>
      <c r="C13" s="41" t="inlineStr">
        <is>
          <t>Traction, retention, channel anchor</t>
        </is>
      </c>
      <c r="D13" s="41" t="inlineStr">
        <is>
          <t>Invirtus April 2026 IC Update; GTM notes</t>
        </is>
      </c>
      <c r="E13" s="42" t="inlineStr">
        <is>
          <t>Notion: Invirtus - April 2026 IC Update</t>
        </is>
      </c>
      <c r="F13" s="43" t="inlineStr">
        <is>
          <t>2026-06-16</t>
        </is>
      </c>
      <c r="G13" s="43" t="inlineStr">
        <is>
          <t>Co. data</t>
        </is>
      </c>
    </row>
    <row r="14">
      <c r="B14" s="40" t="inlineStr">
        <is>
          <t>S9</t>
        </is>
      </c>
      <c r="C14" s="41" t="inlineStr">
        <is>
          <t>Socium (2nd ATS)</t>
        </is>
      </c>
      <c r="D14" s="41" t="inlineStr">
        <is>
          <t>Invirtus GTM notes</t>
        </is>
      </c>
      <c r="E14" s="42" t="inlineStr">
        <is>
          <t>Notion: Invirtus - GTM</t>
        </is>
      </c>
      <c r="F14" s="43" t="inlineStr">
        <is>
          <t>2026-06-16</t>
        </is>
      </c>
      <c r="G14" s="43" t="inlineStr">
        <is>
          <t>Co. data</t>
        </is>
      </c>
    </row>
    <row r="16">
      <c r="B16" s="23" t="inlineStr">
        <is>
          <t>Note: 'medium enterprise' bands differ by country; mid-size counts are the closest official proxy x an engineer-hiring share. The %-addressable and engineer-hiring share are the softest inputs - pressure-test before widening breadth.</t>
        </is>
      </c>
    </row>
    <row r="17"/>
  </sheetData>
  <mergeCells count="2">
    <mergeCell ref="B3:G3"/>
    <mergeCell ref="B16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2026-06-24T14:53:28Z</dcterms:created>
  <dcterms:modified xsi:type="dcterms:W3CDTF">2026-06-24T14:53:28Z</dcterms:modified>
</cp:coreProperties>
</file>